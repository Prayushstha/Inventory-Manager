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s\Inventory-Manager\src\Backend\"/>
    </mc:Choice>
  </mc:AlternateContent>
  <xr:revisionPtr revIDLastSave="0" documentId="13_ncr:1_{3A80336F-DAB7-43F0-8CC9-E6946948AC78}" xr6:coauthVersionLast="47" xr6:coauthVersionMax="47" xr10:uidLastSave="{00000000-0000-0000-0000-000000000000}"/>
  <bookViews>
    <workbookView xWindow="-120" yWindow="-120" windowWidth="29040" windowHeight="15720" tabRatio="745" xr2:uid="{00000000-000D-0000-FFFF-FFFF00000000}"/>
  </bookViews>
  <sheets>
    <sheet name="JESTH- 2083" sheetId="15" r:id="rId1"/>
    <sheet name="Sheet125" sheetId="171" r:id="rId2"/>
    <sheet name="Sheet126" sheetId="172" r:id="rId3"/>
    <sheet name="Sheet124" sheetId="170" r:id="rId4"/>
    <sheet name="Sheet3" sheetId="70" r:id="rId5"/>
    <sheet name="Sheet1" sheetId="48" r:id="rId6"/>
    <sheet name="Sheeppt1" sheetId="16" r:id="rId7"/>
    <sheet name="Sheet127" sheetId="173" r:id="rId8"/>
    <sheet name="misc" sheetId="17" r:id="rId9"/>
    <sheet name="Sheet2" sheetId="47" r:id="rId10"/>
    <sheet name="Sheet4" sheetId="19" r:id="rId11"/>
    <sheet name="dinesh" sheetId="20" r:id="rId12"/>
    <sheet name="STOCK" sheetId="22" r:id="rId13"/>
    <sheet name="STOK 1" sheetId="46" r:id="rId14"/>
    <sheet name="Sheet128" sheetId="174" r:id="rId15"/>
    <sheet name="Sheet129" sheetId="175" r:id="rId16"/>
    <sheet name="Sheet130" sheetId="176" r:id="rId17"/>
    <sheet name="Sheet131" sheetId="177" r:id="rId18"/>
    <sheet name="Sheet132" sheetId="178" r:id="rId19"/>
    <sheet name="Sheet133" sheetId="179" r:id="rId20"/>
    <sheet name="Sheet134" sheetId="180" r:id="rId21"/>
    <sheet name="Sheet135" sheetId="181" r:id="rId22"/>
    <sheet name="Sheet136" sheetId="182" r:id="rId23"/>
    <sheet name="Sheet137" sheetId="183" r:id="rId24"/>
    <sheet name="Sheet138" sheetId="184" r:id="rId25"/>
    <sheet name="Sheet139" sheetId="185" r:id="rId26"/>
    <sheet name="Sheet140" sheetId="186" r:id="rId27"/>
    <sheet name="Sheet141" sheetId="187" r:id="rId28"/>
    <sheet name="Sheet142" sheetId="188" r:id="rId29"/>
    <sheet name="Sheet143" sheetId="189" r:id="rId30"/>
    <sheet name="Sheet144" sheetId="190" r:id="rId31"/>
    <sheet name="Sheet60" sheetId="106" r:id="rId32"/>
    <sheet name="Sheet63" sheetId="109" r:id="rId33"/>
    <sheet name="Sheet64" sheetId="110" r:id="rId34"/>
    <sheet name="Sheet65" sheetId="111" r:id="rId35"/>
    <sheet name="Sheet66" sheetId="112" r:id="rId36"/>
    <sheet name="Sheet67" sheetId="113" r:id="rId37"/>
    <sheet name="Sheet68" sheetId="114" r:id="rId38"/>
    <sheet name="Sheet69" sheetId="115" r:id="rId39"/>
    <sheet name="Sheet70" sheetId="116" r:id="rId40"/>
    <sheet name="Sheet71" sheetId="117" r:id="rId41"/>
    <sheet name="Sheet72" sheetId="118" r:id="rId42"/>
    <sheet name="Sheet73" sheetId="119" r:id="rId43"/>
    <sheet name="Sheet74" sheetId="120" r:id="rId44"/>
    <sheet name="Sheet75" sheetId="121" r:id="rId45"/>
    <sheet name="Sheet76" sheetId="122" r:id="rId46"/>
    <sheet name="Sheet77" sheetId="123" r:id="rId47"/>
    <sheet name="Sheet78" sheetId="124" r:id="rId48"/>
    <sheet name="Sheet79" sheetId="125" r:id="rId49"/>
    <sheet name="Sheet80" sheetId="126" r:id="rId50"/>
    <sheet name="Sheet81" sheetId="127" r:id="rId51"/>
    <sheet name="Sheet82" sheetId="128" r:id="rId52"/>
    <sheet name="Sheet83" sheetId="129" r:id="rId53"/>
    <sheet name="Sheet84" sheetId="130" r:id="rId54"/>
    <sheet name="Sheet85" sheetId="131" r:id="rId55"/>
    <sheet name="Sheet86" sheetId="132" r:id="rId56"/>
    <sheet name="Sheet87" sheetId="133" r:id="rId57"/>
    <sheet name="Sheet88" sheetId="134" r:id="rId58"/>
    <sheet name="Sheet89" sheetId="135" r:id="rId59"/>
    <sheet name="Sheet90" sheetId="136" r:id="rId60"/>
    <sheet name="Sheet91" sheetId="137" r:id="rId61"/>
    <sheet name="Sheet92" sheetId="138" r:id="rId62"/>
    <sheet name="Sheet93" sheetId="139" r:id="rId63"/>
    <sheet name="Sheet94" sheetId="140" r:id="rId64"/>
    <sheet name="Sheet95" sheetId="141" r:id="rId65"/>
    <sheet name="Sheet96" sheetId="142" r:id="rId66"/>
    <sheet name="Sheet97" sheetId="143" r:id="rId67"/>
    <sheet name="Sheet98" sheetId="144" r:id="rId68"/>
    <sheet name="Sheet99" sheetId="145" r:id="rId69"/>
    <sheet name="Sheet100" sheetId="146" r:id="rId70"/>
    <sheet name="Sheet101" sheetId="147" r:id="rId71"/>
    <sheet name="Sheet102" sheetId="148" r:id="rId72"/>
    <sheet name="Sheet103" sheetId="149" r:id="rId73"/>
    <sheet name="Sheet104" sheetId="150" r:id="rId74"/>
    <sheet name="Sheet105" sheetId="151" r:id="rId75"/>
    <sheet name="Sheet106" sheetId="152" r:id="rId76"/>
    <sheet name="Sheet107" sheetId="153" r:id="rId77"/>
    <sheet name="Sheet108" sheetId="154" r:id="rId78"/>
    <sheet name="Sheet109" sheetId="155" r:id="rId79"/>
    <sheet name="Sheet110" sheetId="156" r:id="rId80"/>
    <sheet name="Sheet111" sheetId="157" r:id="rId81"/>
    <sheet name="Sheet112" sheetId="158" r:id="rId82"/>
    <sheet name="Sheet113" sheetId="159" r:id="rId83"/>
    <sheet name="Sheet114" sheetId="160" r:id="rId84"/>
    <sheet name="Sheet115" sheetId="161" r:id="rId85"/>
    <sheet name="Sheet116" sheetId="162" r:id="rId86"/>
    <sheet name="Sheet117" sheetId="163" r:id="rId87"/>
    <sheet name="Sheet118" sheetId="164" r:id="rId88"/>
    <sheet name="Sheet119" sheetId="165" r:id="rId89"/>
    <sheet name="Sheet120" sheetId="166" r:id="rId90"/>
    <sheet name="Sheet121" sheetId="167" r:id="rId91"/>
    <sheet name="Sheet122" sheetId="168" r:id="rId92"/>
    <sheet name="Sheet123" sheetId="169" r:id="rId93"/>
    <sheet name="Sheet61" sheetId="107" r:id="rId94"/>
    <sheet name="Sheet62" sheetId="108" r:id="rId95"/>
    <sheet name="Sheet34" sheetId="80" r:id="rId96"/>
    <sheet name="Sheet35" sheetId="81" r:id="rId97"/>
    <sheet name="Sheet59" sheetId="105" r:id="rId98"/>
    <sheet name="Sheet36" sheetId="82" r:id="rId99"/>
    <sheet name="Sheet37" sheetId="83" r:id="rId100"/>
    <sheet name="Sheet38" sheetId="84" r:id="rId101"/>
    <sheet name="Sheet39" sheetId="85" r:id="rId102"/>
    <sheet name="Sheet40" sheetId="86" r:id="rId103"/>
    <sheet name="Sheet41" sheetId="87" r:id="rId104"/>
    <sheet name="Sheet42" sheetId="88" r:id="rId105"/>
    <sheet name="Sheet43" sheetId="89" r:id="rId106"/>
    <sheet name="Sheet44" sheetId="90" r:id="rId107"/>
    <sheet name="Sheet45" sheetId="91" r:id="rId108"/>
    <sheet name="Sheet46" sheetId="92" r:id="rId109"/>
    <sheet name="Sheet47" sheetId="93" r:id="rId110"/>
    <sheet name="Sheet48" sheetId="94" r:id="rId111"/>
    <sheet name="Sheet49" sheetId="95" r:id="rId112"/>
    <sheet name="Sheet50" sheetId="96" r:id="rId113"/>
    <sheet name="Sheet51" sheetId="97" r:id="rId114"/>
    <sheet name="Sheet52" sheetId="98" r:id="rId115"/>
    <sheet name="Sheet53" sheetId="99" r:id="rId116"/>
    <sheet name="Sheet54" sheetId="100" r:id="rId117"/>
    <sheet name="Sheet55" sheetId="101" r:id="rId118"/>
    <sheet name="Sheet56" sheetId="102" r:id="rId119"/>
    <sheet name="Sheet57" sheetId="103" r:id="rId120"/>
    <sheet name="Sheet58" sheetId="104" r:id="rId121"/>
    <sheet name="ODRE COMPANY" sheetId="45" r:id="rId122"/>
    <sheet name="BATHSENSE SANWARE" sheetId="29" r:id="rId123"/>
    <sheet name="Sheet25" sheetId="71" r:id="rId124"/>
    <sheet name="Sheet26" sheetId="72" r:id="rId125"/>
    <sheet name="Sheet27" sheetId="73" r:id="rId126"/>
    <sheet name="Sheet28" sheetId="74" r:id="rId127"/>
    <sheet name="Sheet29" sheetId="75" r:id="rId128"/>
    <sheet name="Sheet30" sheetId="76" r:id="rId129"/>
    <sheet name="Sheet31" sheetId="77" r:id="rId130"/>
    <sheet name="Sheet32" sheetId="78" r:id="rId131"/>
    <sheet name="Sheet33" sheetId="79" r:id="rId132"/>
    <sheet name="BATHSENSE" sheetId="23" r:id="rId133"/>
    <sheet name="Sheet7" sheetId="52" r:id="rId134"/>
    <sheet name="Sheet5" sheetId="50" r:id="rId135"/>
    <sheet name="Sheet8" sheetId="53" r:id="rId136"/>
    <sheet name="Sheet6" sheetId="51" r:id="rId137"/>
    <sheet name="binaya" sheetId="49" r:id="rId138"/>
    <sheet name="Painter" sheetId="40" r:id="rId139"/>
    <sheet name="Nala Stock 05-09" sheetId="41" r:id="rId140"/>
    <sheet name="Sheet9" sheetId="54" r:id="rId141"/>
    <sheet name="Sheet10" sheetId="55" r:id="rId142"/>
    <sheet name="Sheet11" sheetId="56" r:id="rId143"/>
    <sheet name="Sheet12" sheetId="57" r:id="rId144"/>
    <sheet name="Sheet13" sheetId="58" r:id="rId145"/>
    <sheet name="Sheet14" sheetId="59" r:id="rId146"/>
    <sheet name="Sheet15" sheetId="60" r:id="rId147"/>
    <sheet name="Sheet16" sheetId="61" r:id="rId148"/>
    <sheet name="Sheet17" sheetId="62" r:id="rId149"/>
    <sheet name="Sheet18" sheetId="63" r:id="rId150"/>
    <sheet name="Sheet19" sheetId="64" r:id="rId151"/>
    <sheet name="Sheet20" sheetId="65" r:id="rId152"/>
    <sheet name="Sheet21" sheetId="66" r:id="rId153"/>
    <sheet name="Sheet22" sheetId="67" r:id="rId154"/>
    <sheet name="Sheet23" sheetId="68" r:id="rId155"/>
    <sheet name="Sheet24" sheetId="69" r:id="rId156"/>
  </sheets>
  <definedNames>
    <definedName name="_xlnm._FilterDatabase" localSheetId="0" hidden="1">'JESTH- 2083'!$A$1:$D$467</definedName>
    <definedName name="_xlnm._FilterDatabase" localSheetId="121" hidden="1">'ODRE COMPANY'!$C$1:$C$622</definedName>
    <definedName name="_xlnm._FilterDatabase" localSheetId="138" hidden="1">Painter!$A$1:$B$54</definedName>
    <definedName name="_xlnm._FilterDatabase" localSheetId="12" hidden="1">STOCK!$A$2:$C$594</definedName>
    <definedName name="_xlnm.Print_Area" localSheetId="6">Sheeppt1!$A$1:$J$51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5" i="173" l="1"/>
  <c r="Q26" i="173" s="1"/>
  <c r="L16" i="173"/>
  <c r="P21" i="173" s="1"/>
  <c r="O13" i="173"/>
  <c r="C2" i="173"/>
  <c r="L84" i="29" l="1"/>
  <c r="M84" i="29" s="1"/>
  <c r="O84" i="29" s="1"/>
  <c r="P84" i="29" s="1"/>
  <c r="L83" i="29"/>
  <c r="M83" i="29" s="1"/>
  <c r="O83" i="29" s="1"/>
  <c r="P83" i="29" s="1"/>
  <c r="L81" i="29"/>
  <c r="M81" i="29" s="1"/>
  <c r="O81" i="29" s="1"/>
  <c r="P81" i="29" s="1"/>
  <c r="L80" i="29"/>
  <c r="M80" i="29" s="1"/>
  <c r="O80" i="29" s="1"/>
  <c r="P80" i="29" s="1"/>
  <c r="L78" i="29"/>
  <c r="M78" i="29" s="1"/>
  <c r="O78" i="29" s="1"/>
  <c r="P78" i="29" s="1"/>
  <c r="L77" i="29"/>
  <c r="M77" i="29" s="1"/>
  <c r="O77" i="29" s="1"/>
  <c r="P77" i="29" s="1"/>
  <c r="L75" i="29"/>
  <c r="M75" i="29" s="1"/>
  <c r="O75" i="29" s="1"/>
  <c r="P75" i="29" s="1"/>
  <c r="L74" i="29"/>
  <c r="M74" i="29" s="1"/>
  <c r="O74" i="29" s="1"/>
  <c r="P74" i="29" s="1"/>
  <c r="L73" i="29"/>
  <c r="M73" i="29" s="1"/>
  <c r="O73" i="29" s="1"/>
  <c r="P73" i="29" s="1"/>
  <c r="L72" i="29"/>
  <c r="M72" i="29" s="1"/>
  <c r="O72" i="29" s="1"/>
  <c r="P72" i="29" s="1"/>
  <c r="L71" i="29"/>
  <c r="M71" i="29" s="1"/>
  <c r="O71" i="29" s="1"/>
  <c r="P71" i="29" s="1"/>
  <c r="L70" i="29"/>
  <c r="M70" i="29" s="1"/>
  <c r="O70" i="29" s="1"/>
  <c r="P70" i="29" s="1"/>
  <c r="L69" i="29"/>
  <c r="M69" i="29" s="1"/>
  <c r="O69" i="29" s="1"/>
  <c r="P69" i="29" s="1"/>
  <c r="L68" i="29"/>
  <c r="M68" i="29" s="1"/>
  <c r="O68" i="29" s="1"/>
  <c r="P68" i="29" s="1"/>
  <c r="L66" i="29"/>
  <c r="M66" i="29" s="1"/>
  <c r="O66" i="29" s="1"/>
  <c r="P66" i="29" s="1"/>
  <c r="L65" i="29"/>
  <c r="M65" i="29" s="1"/>
  <c r="O65" i="29" s="1"/>
  <c r="P65" i="29" s="1"/>
  <c r="L64" i="29"/>
  <c r="M64" i="29" s="1"/>
  <c r="O64" i="29" s="1"/>
  <c r="P64" i="29" s="1"/>
  <c r="L63" i="29"/>
  <c r="M63" i="29" s="1"/>
  <c r="O63" i="29" s="1"/>
  <c r="P63" i="29" s="1"/>
  <c r="M62" i="29"/>
  <c r="O62" i="29" s="1"/>
  <c r="P62" i="29" s="1"/>
  <c r="L62" i="29"/>
  <c r="L61" i="29"/>
  <c r="M61" i="29" s="1"/>
  <c r="O61" i="29" s="1"/>
  <c r="P61" i="29" s="1"/>
  <c r="L60" i="29"/>
  <c r="M60" i="29" s="1"/>
  <c r="O60" i="29" s="1"/>
  <c r="P60" i="29" s="1"/>
  <c r="L59" i="29"/>
  <c r="M59" i="29" s="1"/>
  <c r="O59" i="29" s="1"/>
  <c r="P59" i="29" s="1"/>
  <c r="M58" i="29"/>
  <c r="O58" i="29" s="1"/>
  <c r="P58" i="29" s="1"/>
  <c r="L58" i="29"/>
  <c r="L56" i="29"/>
  <c r="M56" i="29" s="1"/>
  <c r="O56" i="29" s="1"/>
  <c r="P56" i="29" s="1"/>
  <c r="L55" i="29"/>
  <c r="M55" i="29" s="1"/>
  <c r="O55" i="29" s="1"/>
  <c r="P55" i="29" s="1"/>
  <c r="L54" i="29"/>
  <c r="M54" i="29" s="1"/>
  <c r="O54" i="29" s="1"/>
  <c r="P54" i="29" s="1"/>
  <c r="L53" i="29"/>
  <c r="M53" i="29" s="1"/>
  <c r="O53" i="29" s="1"/>
  <c r="P53" i="29" s="1"/>
  <c r="L52" i="29"/>
  <c r="M52" i="29" s="1"/>
  <c r="O52" i="29" s="1"/>
  <c r="P52" i="29" s="1"/>
  <c r="L51" i="29"/>
  <c r="M51" i="29" s="1"/>
  <c r="O51" i="29" s="1"/>
  <c r="P51" i="29" s="1"/>
  <c r="O50" i="29"/>
  <c r="P50" i="29" s="1"/>
  <c r="L50" i="29"/>
  <c r="M50" i="29" s="1"/>
  <c r="M48" i="29"/>
  <c r="O48" i="29" s="1"/>
  <c r="P48" i="29" s="1"/>
  <c r="L48" i="29"/>
  <c r="L47" i="29"/>
  <c r="M47" i="29" s="1"/>
  <c r="O47" i="29" s="1"/>
  <c r="P47" i="29" s="1"/>
  <c r="L46" i="29"/>
  <c r="M46" i="29" s="1"/>
  <c r="O46" i="29" s="1"/>
  <c r="P46" i="29" s="1"/>
  <c r="O45" i="29"/>
  <c r="P45" i="29" s="1"/>
  <c r="L45" i="29"/>
  <c r="M45" i="29" s="1"/>
  <c r="L44" i="29"/>
  <c r="M44" i="29" s="1"/>
  <c r="O44" i="29" s="1"/>
  <c r="P44" i="29" s="1"/>
  <c r="L43" i="29"/>
  <c r="M43" i="29" s="1"/>
  <c r="O43" i="29" s="1"/>
  <c r="P43" i="29" s="1"/>
  <c r="L42" i="29"/>
  <c r="M42" i="29" s="1"/>
  <c r="O42" i="29" s="1"/>
  <c r="P42" i="29" s="1"/>
  <c r="L41" i="29"/>
  <c r="M41" i="29" s="1"/>
  <c r="O41" i="29" s="1"/>
  <c r="P41" i="29" s="1"/>
  <c r="M40" i="29"/>
  <c r="O40" i="29" s="1"/>
  <c r="P40" i="29" s="1"/>
  <c r="L40" i="29"/>
  <c r="L39" i="29"/>
  <c r="M39" i="29" s="1"/>
  <c r="O39" i="29" s="1"/>
  <c r="P39" i="29" s="1"/>
  <c r="L38" i="29"/>
  <c r="M38" i="29" s="1"/>
  <c r="O38" i="29" s="1"/>
  <c r="P38" i="29" s="1"/>
  <c r="O37" i="29"/>
  <c r="P37" i="29" s="1"/>
  <c r="L37" i="29"/>
  <c r="M37" i="29" s="1"/>
  <c r="L36" i="29"/>
  <c r="M36" i="29" s="1"/>
  <c r="O36" i="29" s="1"/>
  <c r="P36" i="29" s="1"/>
  <c r="L35" i="29"/>
  <c r="M35" i="29" s="1"/>
  <c r="O35" i="29" s="1"/>
  <c r="P35" i="29" s="1"/>
  <c r="L34" i="29"/>
  <c r="M34" i="29" s="1"/>
  <c r="O34" i="29" s="1"/>
  <c r="P34" i="29" s="1"/>
  <c r="L32" i="29"/>
  <c r="M32" i="29" s="1"/>
  <c r="O32" i="29" s="1"/>
  <c r="P32" i="29" s="1"/>
  <c r="L31" i="29"/>
  <c r="M31" i="29" s="1"/>
  <c r="O31" i="29" s="1"/>
  <c r="P31" i="29" s="1"/>
  <c r="L30" i="29"/>
  <c r="M30" i="29" s="1"/>
  <c r="O30" i="29" s="1"/>
  <c r="P30" i="29" s="1"/>
  <c r="L29" i="29"/>
  <c r="M29" i="29" s="1"/>
  <c r="O29" i="29" s="1"/>
  <c r="P29" i="29" s="1"/>
  <c r="O28" i="29"/>
  <c r="P28" i="29" s="1"/>
  <c r="L28" i="29"/>
  <c r="M28" i="29" s="1"/>
  <c r="M27" i="29"/>
  <c r="O27" i="29" s="1"/>
  <c r="P27" i="29" s="1"/>
  <c r="L27" i="29"/>
  <c r="L26" i="29"/>
  <c r="M26" i="29" s="1"/>
  <c r="O26" i="29" s="1"/>
  <c r="P26" i="29" s="1"/>
  <c r="L25" i="29"/>
  <c r="M25" i="29" s="1"/>
  <c r="O25" i="29" s="1"/>
  <c r="P25" i="29" s="1"/>
  <c r="L24" i="29"/>
  <c r="M24" i="29" s="1"/>
  <c r="O24" i="29" s="1"/>
  <c r="P24" i="29" s="1"/>
  <c r="M23" i="29"/>
  <c r="O23" i="29" s="1"/>
  <c r="P23" i="29" s="1"/>
  <c r="L23" i="29"/>
  <c r="L22" i="29"/>
  <c r="M22" i="29" s="1"/>
  <c r="O22" i="29" s="1"/>
  <c r="P22" i="29" s="1"/>
  <c r="L20" i="29"/>
  <c r="M20" i="29" s="1"/>
  <c r="O20" i="29" s="1"/>
  <c r="P20" i="29" s="1"/>
  <c r="L19" i="29"/>
  <c r="M19" i="29" s="1"/>
  <c r="O19" i="29" s="1"/>
  <c r="P19" i="29" s="1"/>
  <c r="L18" i="29"/>
  <c r="M18" i="29" s="1"/>
  <c r="O18" i="29" s="1"/>
  <c r="P18" i="29" s="1"/>
  <c r="L17" i="29"/>
  <c r="M17" i="29" s="1"/>
  <c r="O17" i="29" s="1"/>
  <c r="P17" i="29" s="1"/>
  <c r="L16" i="29"/>
  <c r="M16" i="29" s="1"/>
  <c r="O16" i="29" s="1"/>
  <c r="P16" i="29" s="1"/>
  <c r="O15" i="29"/>
  <c r="P15" i="29" s="1"/>
  <c r="L15" i="29"/>
  <c r="M15" i="29" s="1"/>
  <c r="M14" i="29"/>
  <c r="O14" i="29" s="1"/>
  <c r="P14" i="29" s="1"/>
  <c r="L14" i="29"/>
  <c r="L13" i="29"/>
  <c r="M13" i="29" s="1"/>
  <c r="O13" i="29" s="1"/>
  <c r="P13" i="29" s="1"/>
  <c r="L12" i="29"/>
  <c r="M12" i="29" s="1"/>
  <c r="O12" i="29" s="1"/>
  <c r="P12" i="29" s="1"/>
  <c r="O11" i="29"/>
  <c r="P11" i="29" s="1"/>
  <c r="L11" i="29"/>
  <c r="M11" i="29" s="1"/>
  <c r="M10" i="29"/>
  <c r="O10" i="29" s="1"/>
  <c r="P10" i="29" s="1"/>
  <c r="L10" i="29"/>
  <c r="P8" i="29"/>
  <c r="H8" i="29"/>
  <c r="I8" i="29" s="1"/>
  <c r="J8" i="29" s="1"/>
  <c r="H7" i="29"/>
  <c r="I7" i="29" s="1"/>
  <c r="J7" i="29" s="1"/>
  <c r="H6" i="29"/>
  <c r="H5" i="29"/>
  <c r="H4" i="29"/>
  <c r="H3" i="29"/>
  <c r="I3" i="29" s="1"/>
  <c r="J3" i="29" s="1"/>
  <c r="H552" i="23"/>
  <c r="H551" i="23"/>
  <c r="I551" i="23" s="1"/>
  <c r="J551" i="23" s="1"/>
  <c r="H550" i="23"/>
  <c r="I550" i="23" s="1"/>
  <c r="J550" i="23" s="1"/>
  <c r="I549" i="23"/>
  <c r="J549" i="23" s="1"/>
  <c r="H549" i="23"/>
  <c r="H548" i="23"/>
  <c r="I548" i="23" s="1"/>
  <c r="H547" i="23"/>
  <c r="H546" i="23"/>
  <c r="I546" i="23" s="1"/>
  <c r="J546" i="23" s="1"/>
  <c r="H545" i="23"/>
  <c r="H543" i="23"/>
  <c r="I543" i="23" s="1"/>
  <c r="H542" i="23"/>
  <c r="H541" i="23"/>
  <c r="I541" i="23" s="1"/>
  <c r="J541" i="23" s="1"/>
  <c r="H540" i="23"/>
  <c r="H539" i="23"/>
  <c r="I539" i="23" s="1"/>
  <c r="H538" i="23"/>
  <c r="H537" i="23"/>
  <c r="I537" i="23" s="1"/>
  <c r="J537" i="23" s="1"/>
  <c r="I536" i="23"/>
  <c r="J536" i="23" s="1"/>
  <c r="H536" i="23"/>
  <c r="H535" i="23"/>
  <c r="I535" i="23" s="1"/>
  <c r="H534" i="23"/>
  <c r="H533" i="23"/>
  <c r="I533" i="23" s="1"/>
  <c r="J533" i="23" s="1"/>
  <c r="H532" i="23"/>
  <c r="I532" i="23" s="1"/>
  <c r="J532" i="23" s="1"/>
  <c r="H530" i="23"/>
  <c r="I530" i="23" s="1"/>
  <c r="H529" i="23"/>
  <c r="H528" i="23"/>
  <c r="I528" i="23" s="1"/>
  <c r="J528" i="23" s="1"/>
  <c r="H527" i="23"/>
  <c r="H526" i="23"/>
  <c r="I526" i="23" s="1"/>
  <c r="H525" i="23"/>
  <c r="H523" i="23"/>
  <c r="I523" i="23" s="1"/>
  <c r="J523" i="23" s="1"/>
  <c r="H522" i="23"/>
  <c r="I521" i="23"/>
  <c r="H521" i="23"/>
  <c r="H520" i="23"/>
  <c r="H518" i="23"/>
  <c r="I518" i="23" s="1"/>
  <c r="J518" i="23" s="1"/>
  <c r="H517" i="23"/>
  <c r="H516" i="23"/>
  <c r="I516" i="23" s="1"/>
  <c r="H515" i="23"/>
  <c r="H513" i="23"/>
  <c r="I513" i="23" s="1"/>
  <c r="J513" i="23" s="1"/>
  <c r="I512" i="23"/>
  <c r="J512" i="23" s="1"/>
  <c r="H512" i="23"/>
  <c r="H510" i="23"/>
  <c r="I510" i="23" s="1"/>
  <c r="H509" i="23"/>
  <c r="H508" i="23"/>
  <c r="I508" i="23" s="1"/>
  <c r="J508" i="23" s="1"/>
  <c r="H507" i="23"/>
  <c r="I506" i="23"/>
  <c r="H506" i="23"/>
  <c r="H505" i="23"/>
  <c r="H504" i="23"/>
  <c r="I504" i="23" s="1"/>
  <c r="J504" i="23" s="1"/>
  <c r="H503" i="23"/>
  <c r="H502" i="23"/>
  <c r="I502" i="23" s="1"/>
  <c r="H500" i="23"/>
  <c r="H499" i="23"/>
  <c r="I499" i="23" s="1"/>
  <c r="J499" i="23" s="1"/>
  <c r="H498" i="23"/>
  <c r="I498" i="23" s="1"/>
  <c r="J498" i="23" s="1"/>
  <c r="H497" i="23"/>
  <c r="I497" i="23" s="1"/>
  <c r="H496" i="23"/>
  <c r="H495" i="23"/>
  <c r="I495" i="23" s="1"/>
  <c r="J495" i="23" s="1"/>
  <c r="H494" i="23"/>
  <c r="I494" i="23" s="1"/>
  <c r="J494" i="23" s="1"/>
  <c r="H493" i="23"/>
  <c r="I493" i="23" s="1"/>
  <c r="H492" i="23"/>
  <c r="H491" i="23"/>
  <c r="H489" i="23"/>
  <c r="I489" i="23" s="1"/>
  <c r="J489" i="23" s="1"/>
  <c r="H488" i="23"/>
  <c r="I488" i="23" s="1"/>
  <c r="H487" i="23"/>
  <c r="I487" i="23" s="1"/>
  <c r="H486" i="23"/>
  <c r="H485" i="23"/>
  <c r="I485" i="23" s="1"/>
  <c r="H484" i="23"/>
  <c r="H483" i="23"/>
  <c r="H482" i="23"/>
  <c r="J480" i="23"/>
  <c r="H480" i="23"/>
  <c r="I480" i="23" s="1"/>
  <c r="H479" i="23"/>
  <c r="I479" i="23" s="1"/>
  <c r="J479" i="23" s="1"/>
  <c r="H478" i="23"/>
  <c r="I478" i="23" s="1"/>
  <c r="J478" i="23" s="1"/>
  <c r="H477" i="23"/>
  <c r="H476" i="23"/>
  <c r="I476" i="23" s="1"/>
  <c r="I475" i="23"/>
  <c r="J475" i="23" s="1"/>
  <c r="H475" i="23"/>
  <c r="H474" i="23"/>
  <c r="H473" i="23"/>
  <c r="H471" i="23"/>
  <c r="I471" i="23" s="1"/>
  <c r="I470" i="23"/>
  <c r="J470" i="23" s="1"/>
  <c r="H470" i="23"/>
  <c r="H469" i="23"/>
  <c r="I469" i="23" s="1"/>
  <c r="J469" i="23" s="1"/>
  <c r="H468" i="23"/>
  <c r="H467" i="23"/>
  <c r="I467" i="23" s="1"/>
  <c r="H466" i="23"/>
  <c r="I466" i="23" s="1"/>
  <c r="J466" i="23" s="1"/>
  <c r="H465" i="23"/>
  <c r="H464" i="23"/>
  <c r="J462" i="23"/>
  <c r="H462" i="23"/>
  <c r="I462" i="23" s="1"/>
  <c r="H460" i="23"/>
  <c r="I460" i="23" s="1"/>
  <c r="J460" i="23" s="1"/>
  <c r="I459" i="23"/>
  <c r="J459" i="23" s="1"/>
  <c r="H459" i="23"/>
  <c r="H458" i="23"/>
  <c r="H457" i="23"/>
  <c r="I457" i="23" s="1"/>
  <c r="H456" i="23"/>
  <c r="I456" i="23" s="1"/>
  <c r="J456" i="23" s="1"/>
  <c r="H455" i="23"/>
  <c r="H453" i="23"/>
  <c r="H452" i="23"/>
  <c r="H451" i="23"/>
  <c r="H450" i="23"/>
  <c r="I448" i="23"/>
  <c r="J448" i="23" s="1"/>
  <c r="H448" i="23"/>
  <c r="H447" i="23"/>
  <c r="H446" i="23"/>
  <c r="I446" i="23" s="1"/>
  <c r="H445" i="23"/>
  <c r="H443" i="23"/>
  <c r="I443" i="23" s="1"/>
  <c r="J443" i="23" s="1"/>
  <c r="H442" i="23"/>
  <c r="I442" i="23" s="1"/>
  <c r="H441" i="23"/>
  <c r="H440" i="23"/>
  <c r="I440" i="23" s="1"/>
  <c r="I438" i="23"/>
  <c r="J438" i="23" s="1"/>
  <c r="L438" i="23" s="1"/>
  <c r="H438" i="23"/>
  <c r="H437" i="23"/>
  <c r="I437" i="23" s="1"/>
  <c r="H435" i="23"/>
  <c r="I435" i="23" s="1"/>
  <c r="H434" i="23"/>
  <c r="H432" i="23"/>
  <c r="I432" i="23" s="1"/>
  <c r="J432" i="23" s="1"/>
  <c r="H431" i="23"/>
  <c r="I431" i="23" s="1"/>
  <c r="I429" i="23"/>
  <c r="H429" i="23"/>
  <c r="H428" i="23"/>
  <c r="I428" i="23" s="1"/>
  <c r="I427" i="23"/>
  <c r="J427" i="23" s="1"/>
  <c r="H427" i="23"/>
  <c r="H425" i="23"/>
  <c r="H423" i="23"/>
  <c r="I423" i="23" s="1"/>
  <c r="H422" i="23"/>
  <c r="H421" i="23"/>
  <c r="I421" i="23" s="1"/>
  <c r="J421" i="23" s="1"/>
  <c r="H420" i="23"/>
  <c r="I420" i="23" s="1"/>
  <c r="H419" i="23"/>
  <c r="H418" i="23"/>
  <c r="I418" i="23" s="1"/>
  <c r="H417" i="23"/>
  <c r="I417" i="23" s="1"/>
  <c r="J417" i="23" s="1"/>
  <c r="H416" i="23"/>
  <c r="I416" i="23" s="1"/>
  <c r="J416" i="23" s="1"/>
  <c r="I415" i="23"/>
  <c r="H415" i="23"/>
  <c r="H413" i="23"/>
  <c r="H412" i="23"/>
  <c r="I412" i="23" s="1"/>
  <c r="J412" i="23" s="1"/>
  <c r="H411" i="23"/>
  <c r="H410" i="23"/>
  <c r="H409" i="23"/>
  <c r="H408" i="23"/>
  <c r="I408" i="23" s="1"/>
  <c r="J408" i="23" s="1"/>
  <c r="H407" i="23"/>
  <c r="I407" i="23" s="1"/>
  <c r="J407" i="23" s="1"/>
  <c r="I406" i="23"/>
  <c r="H406" i="23"/>
  <c r="H405" i="23"/>
  <c r="I404" i="23"/>
  <c r="H404" i="23"/>
  <c r="J404" i="23" s="1"/>
  <c r="H403" i="23"/>
  <c r="I403" i="23" s="1"/>
  <c r="H402" i="23"/>
  <c r="H401" i="23"/>
  <c r="I401" i="23" s="1"/>
  <c r="I399" i="23"/>
  <c r="H399" i="23"/>
  <c r="H398" i="23"/>
  <c r="H397" i="23"/>
  <c r="I397" i="23" s="1"/>
  <c r="H396" i="23"/>
  <c r="H394" i="23"/>
  <c r="I394" i="23" s="1"/>
  <c r="J394" i="23" s="1"/>
  <c r="H393" i="23"/>
  <c r="H392" i="23"/>
  <c r="H391" i="23"/>
  <c r="I391" i="23" s="1"/>
  <c r="J391" i="23" s="1"/>
  <c r="H390" i="23"/>
  <c r="H389" i="23"/>
  <c r="H388" i="23"/>
  <c r="H387" i="23"/>
  <c r="I387" i="23" s="1"/>
  <c r="J387" i="23" s="1"/>
  <c r="L387" i="23" s="1"/>
  <c r="H386" i="23"/>
  <c r="I386" i="23" s="1"/>
  <c r="J386" i="23" s="1"/>
  <c r="H385" i="23"/>
  <c r="H384" i="23"/>
  <c r="H383" i="23"/>
  <c r="I383" i="23" s="1"/>
  <c r="J383" i="23" s="1"/>
  <c r="H382" i="23"/>
  <c r="H381" i="23"/>
  <c r="H380" i="23"/>
  <c r="I380" i="23" s="1"/>
  <c r="H379" i="23"/>
  <c r="I379" i="23" s="1"/>
  <c r="J379" i="23" s="1"/>
  <c r="L379" i="23" s="1"/>
  <c r="H378" i="23"/>
  <c r="I378" i="23" s="1"/>
  <c r="J378" i="23" s="1"/>
  <c r="H377" i="23"/>
  <c r="H376" i="23"/>
  <c r="H375" i="23"/>
  <c r="I375" i="23" s="1"/>
  <c r="J375" i="23" s="1"/>
  <c r="H373" i="23"/>
  <c r="H372" i="23"/>
  <c r="I372" i="23" s="1"/>
  <c r="H371" i="23"/>
  <c r="H370" i="23"/>
  <c r="I370" i="23" s="1"/>
  <c r="J370" i="23" s="1"/>
  <c r="H369" i="23"/>
  <c r="I369" i="23" s="1"/>
  <c r="J369" i="23" s="1"/>
  <c r="H368" i="23"/>
  <c r="H367" i="23"/>
  <c r="H366" i="23"/>
  <c r="H365" i="23"/>
  <c r="H364" i="23"/>
  <c r="H363" i="23"/>
  <c r="I363" i="23" s="1"/>
  <c r="H362" i="23"/>
  <c r="I362" i="23" s="1"/>
  <c r="J362" i="23" s="1"/>
  <c r="H361" i="23"/>
  <c r="I361" i="23" s="1"/>
  <c r="J361" i="23" s="1"/>
  <c r="H360" i="23"/>
  <c r="H359" i="23"/>
  <c r="H358" i="23"/>
  <c r="I358" i="23" s="1"/>
  <c r="J358" i="23" s="1"/>
  <c r="H357" i="23"/>
  <c r="H356" i="23"/>
  <c r="H355" i="23"/>
  <c r="I355" i="23" s="1"/>
  <c r="H354" i="23"/>
  <c r="I354" i="23" s="1"/>
  <c r="J354" i="23" s="1"/>
  <c r="L354" i="23" s="1"/>
  <c r="H353" i="23"/>
  <c r="I353" i="23" s="1"/>
  <c r="H352" i="23"/>
  <c r="H351" i="23"/>
  <c r="H349" i="23"/>
  <c r="I349" i="23" s="1"/>
  <c r="J349" i="23" s="1"/>
  <c r="H348" i="23"/>
  <c r="H347" i="23"/>
  <c r="H346" i="23"/>
  <c r="I346" i="23" s="1"/>
  <c r="H345" i="23"/>
  <c r="I345" i="23" s="1"/>
  <c r="J345" i="23" s="1"/>
  <c r="L345" i="23" s="1"/>
  <c r="H344" i="23"/>
  <c r="I344" i="23" s="1"/>
  <c r="J344" i="23" s="1"/>
  <c r="H343" i="23"/>
  <c r="H342" i="23"/>
  <c r="H341" i="23"/>
  <c r="I341" i="23" s="1"/>
  <c r="J341" i="23" s="1"/>
  <c r="H340" i="23"/>
  <c r="H339" i="23"/>
  <c r="I339" i="23" s="1"/>
  <c r="J338" i="23"/>
  <c r="H338" i="23"/>
  <c r="I338" i="23" s="1"/>
  <c r="H337" i="23"/>
  <c r="I337" i="23" s="1"/>
  <c r="J337" i="23" s="1"/>
  <c r="H336" i="23"/>
  <c r="I336" i="23" s="1"/>
  <c r="J336" i="23" s="1"/>
  <c r="H335" i="23"/>
  <c r="H334" i="23"/>
  <c r="H333" i="23"/>
  <c r="I333" i="23" s="1"/>
  <c r="J333" i="23" s="1"/>
  <c r="H332" i="23"/>
  <c r="H331" i="23"/>
  <c r="H329" i="23"/>
  <c r="I329" i="23" s="1"/>
  <c r="I328" i="23"/>
  <c r="J328" i="23" s="1"/>
  <c r="H328" i="23"/>
  <c r="H327" i="23"/>
  <c r="I327" i="23" s="1"/>
  <c r="J327" i="23" s="1"/>
  <c r="H326" i="23"/>
  <c r="H325" i="23"/>
  <c r="H324" i="23"/>
  <c r="I324" i="23" s="1"/>
  <c r="J324" i="23" s="1"/>
  <c r="H323" i="23"/>
  <c r="H322" i="23"/>
  <c r="H321" i="23"/>
  <c r="H320" i="23"/>
  <c r="I320" i="23" s="1"/>
  <c r="J320" i="23" s="1"/>
  <c r="L320" i="23" s="1"/>
  <c r="I319" i="23"/>
  <c r="J319" i="23" s="1"/>
  <c r="H319" i="23"/>
  <c r="H318" i="23"/>
  <c r="H317" i="23"/>
  <c r="H316" i="23"/>
  <c r="I316" i="23" s="1"/>
  <c r="J316" i="23" s="1"/>
  <c r="H315" i="23"/>
  <c r="H314" i="23"/>
  <c r="H313" i="23"/>
  <c r="I313" i="23" s="1"/>
  <c r="H311" i="23"/>
  <c r="I311" i="23" s="1"/>
  <c r="J311" i="23" s="1"/>
  <c r="L311" i="23" s="1"/>
  <c r="H310" i="23"/>
  <c r="I310" i="23" s="1"/>
  <c r="J310" i="23" s="1"/>
  <c r="H309" i="23"/>
  <c r="H308" i="23"/>
  <c r="H307" i="23"/>
  <c r="I307" i="23" s="1"/>
  <c r="J307" i="23" s="1"/>
  <c r="H306" i="23"/>
  <c r="H305" i="23"/>
  <c r="I305" i="23" s="1"/>
  <c r="H304" i="23"/>
  <c r="H303" i="23"/>
  <c r="I303" i="23" s="1"/>
  <c r="J303" i="23" s="1"/>
  <c r="H302" i="23"/>
  <c r="I302" i="23" s="1"/>
  <c r="J302" i="23" s="1"/>
  <c r="H301" i="23"/>
  <c r="H300" i="23"/>
  <c r="H299" i="23"/>
  <c r="H297" i="23"/>
  <c r="H296" i="23"/>
  <c r="H295" i="23"/>
  <c r="I295" i="23" s="1"/>
  <c r="H294" i="23"/>
  <c r="I294" i="23" s="1"/>
  <c r="J294" i="23" s="1"/>
  <c r="H293" i="23"/>
  <c r="I293" i="23" s="1"/>
  <c r="J293" i="23" s="1"/>
  <c r="H292" i="23"/>
  <c r="H291" i="23"/>
  <c r="H290" i="23"/>
  <c r="I290" i="23" s="1"/>
  <c r="J290" i="23" s="1"/>
  <c r="H289" i="23"/>
  <c r="H288" i="23"/>
  <c r="L287" i="23"/>
  <c r="J287" i="23"/>
  <c r="H287" i="23"/>
  <c r="I287" i="23" s="1"/>
  <c r="I286" i="23"/>
  <c r="J286" i="23" s="1"/>
  <c r="L286" i="23" s="1"/>
  <c r="H286" i="23"/>
  <c r="I285" i="23"/>
  <c r="H285" i="23"/>
  <c r="H284" i="23"/>
  <c r="H283" i="23"/>
  <c r="I282" i="23"/>
  <c r="J282" i="23" s="1"/>
  <c r="H282" i="23"/>
  <c r="H281" i="23"/>
  <c r="I281" i="23" s="1"/>
  <c r="H280" i="23"/>
  <c r="I280" i="23" s="1"/>
  <c r="H278" i="23"/>
  <c r="I278" i="23" s="1"/>
  <c r="I277" i="23"/>
  <c r="H277" i="23"/>
  <c r="J277" i="23" s="1"/>
  <c r="L277" i="23" s="1"/>
  <c r="I276" i="23"/>
  <c r="J276" i="23" s="1"/>
  <c r="H276" i="23"/>
  <c r="H275" i="23"/>
  <c r="I275" i="23" s="1"/>
  <c r="H274" i="23"/>
  <c r="H273" i="23"/>
  <c r="I273" i="23" s="1"/>
  <c r="J273" i="23" s="1"/>
  <c r="H272" i="23"/>
  <c r="H271" i="23"/>
  <c r="H270" i="23"/>
  <c r="I270" i="23" s="1"/>
  <c r="I269" i="23"/>
  <c r="J269" i="23" s="1"/>
  <c r="L269" i="23" s="1"/>
  <c r="H269" i="23"/>
  <c r="H268" i="23"/>
  <c r="I268" i="23" s="1"/>
  <c r="H267" i="23"/>
  <c r="I267" i="23" s="1"/>
  <c r="H266" i="23"/>
  <c r="H265" i="23"/>
  <c r="I265" i="23" s="1"/>
  <c r="J265" i="23" s="1"/>
  <c r="H264" i="23"/>
  <c r="H262" i="23"/>
  <c r="I262" i="23" s="1"/>
  <c r="H261" i="23"/>
  <c r="I261" i="23" s="1"/>
  <c r="I260" i="23"/>
  <c r="H260" i="23"/>
  <c r="J260" i="23" s="1"/>
  <c r="L260" i="23" s="1"/>
  <c r="H259" i="23"/>
  <c r="I259" i="23" s="1"/>
  <c r="J259" i="23" s="1"/>
  <c r="H258" i="23"/>
  <c r="I258" i="23" s="1"/>
  <c r="H257" i="23"/>
  <c r="H256" i="23"/>
  <c r="I256" i="23" s="1"/>
  <c r="H255" i="23"/>
  <c r="H254" i="23"/>
  <c r="H253" i="23"/>
  <c r="I253" i="23" s="1"/>
  <c r="I252" i="23"/>
  <c r="H252" i="23"/>
  <c r="J252" i="23" s="1"/>
  <c r="L252" i="23" s="1"/>
  <c r="H251" i="23"/>
  <c r="I251" i="23" s="1"/>
  <c r="J251" i="23" s="1"/>
  <c r="H250" i="23"/>
  <c r="I250" i="23" s="1"/>
  <c r="H249" i="23"/>
  <c r="H248" i="23"/>
  <c r="I248" i="23" s="1"/>
  <c r="J248" i="23" s="1"/>
  <c r="H247" i="23"/>
  <c r="H246" i="23"/>
  <c r="I246" i="23" s="1"/>
  <c r="H245" i="23"/>
  <c r="I245" i="23" s="1"/>
  <c r="I244" i="23"/>
  <c r="H244" i="23"/>
  <c r="J244" i="23" s="1"/>
  <c r="L244" i="23" s="1"/>
  <c r="H242" i="23"/>
  <c r="I242" i="23" s="1"/>
  <c r="J242" i="23" s="1"/>
  <c r="H241" i="23"/>
  <c r="I241" i="23" s="1"/>
  <c r="H240" i="23"/>
  <c r="H239" i="23"/>
  <c r="I239" i="23" s="1"/>
  <c r="J239" i="23" s="1"/>
  <c r="H238" i="23"/>
  <c r="H237" i="23"/>
  <c r="I237" i="23" s="1"/>
  <c r="J237" i="23" s="1"/>
  <c r="H236" i="23"/>
  <c r="I236" i="23" s="1"/>
  <c r="H235" i="23"/>
  <c r="H234" i="23"/>
  <c r="I234" i="23" s="1"/>
  <c r="J234" i="23" s="1"/>
  <c r="H233" i="23"/>
  <c r="I233" i="23" s="1"/>
  <c r="J233" i="23" s="1"/>
  <c r="H232" i="23"/>
  <c r="I232" i="23" s="1"/>
  <c r="H231" i="23"/>
  <c r="H230" i="23"/>
  <c r="I230" i="23" s="1"/>
  <c r="J230" i="23" s="1"/>
  <c r="H229" i="23"/>
  <c r="I229" i="23" s="1"/>
  <c r="J229" i="23" s="1"/>
  <c r="H228" i="23"/>
  <c r="H227" i="23"/>
  <c r="H225" i="23"/>
  <c r="I225" i="23" s="1"/>
  <c r="J225" i="23" s="1"/>
  <c r="H224" i="23"/>
  <c r="I224" i="23" s="1"/>
  <c r="J224" i="23" s="1"/>
  <c r="H223" i="23"/>
  <c r="I223" i="23" s="1"/>
  <c r="H222" i="23"/>
  <c r="H221" i="23"/>
  <c r="I221" i="23" s="1"/>
  <c r="J221" i="23" s="1"/>
  <c r="I220" i="23"/>
  <c r="J220" i="23" s="1"/>
  <c r="H220" i="23"/>
  <c r="H219" i="23"/>
  <c r="H218" i="23"/>
  <c r="H217" i="23"/>
  <c r="I217" i="23" s="1"/>
  <c r="J217" i="23" s="1"/>
  <c r="H216" i="23"/>
  <c r="I216" i="23" s="1"/>
  <c r="J216" i="23" s="1"/>
  <c r="H215" i="23"/>
  <c r="I215" i="23" s="1"/>
  <c r="H214" i="23"/>
  <c r="H213" i="23"/>
  <c r="I213" i="23" s="1"/>
  <c r="J213" i="23" s="1"/>
  <c r="H212" i="23"/>
  <c r="I212" i="23" s="1"/>
  <c r="J212" i="23" s="1"/>
  <c r="H211" i="23"/>
  <c r="H210" i="23"/>
  <c r="H208" i="23"/>
  <c r="I208" i="23" s="1"/>
  <c r="J208" i="23" s="1"/>
  <c r="H207" i="23"/>
  <c r="I207" i="23" s="1"/>
  <c r="J207" i="23" s="1"/>
  <c r="H206" i="23"/>
  <c r="I206" i="23" s="1"/>
  <c r="H205" i="23"/>
  <c r="H204" i="23"/>
  <c r="I204" i="23" s="1"/>
  <c r="J204" i="23" s="1"/>
  <c r="H203" i="23"/>
  <c r="I203" i="23" s="1"/>
  <c r="J203" i="23" s="1"/>
  <c r="H202" i="23"/>
  <c r="H201" i="23"/>
  <c r="H200" i="23"/>
  <c r="I200" i="23" s="1"/>
  <c r="J200" i="23" s="1"/>
  <c r="I199" i="23"/>
  <c r="J199" i="23" s="1"/>
  <c r="H199" i="23"/>
  <c r="H198" i="23"/>
  <c r="I198" i="23" s="1"/>
  <c r="H197" i="23"/>
  <c r="H196" i="23"/>
  <c r="I196" i="23" s="1"/>
  <c r="J196" i="23" s="1"/>
  <c r="H195" i="23"/>
  <c r="I195" i="23" s="1"/>
  <c r="J195" i="23" s="1"/>
  <c r="H193" i="23"/>
  <c r="H192" i="23"/>
  <c r="H191" i="23"/>
  <c r="I191" i="23" s="1"/>
  <c r="J191" i="23" s="1"/>
  <c r="H190" i="23"/>
  <c r="I190" i="23" s="1"/>
  <c r="J190" i="23" s="1"/>
  <c r="H189" i="23"/>
  <c r="H188" i="23"/>
  <c r="H187" i="23"/>
  <c r="I187" i="23" s="1"/>
  <c r="J187" i="23" s="1"/>
  <c r="H186" i="23"/>
  <c r="I186" i="23" s="1"/>
  <c r="J186" i="23" s="1"/>
  <c r="H185" i="23"/>
  <c r="I185" i="23" s="1"/>
  <c r="H184" i="23"/>
  <c r="H182" i="23"/>
  <c r="I182" i="23" s="1"/>
  <c r="J182" i="23" s="1"/>
  <c r="H181" i="23"/>
  <c r="I181" i="23" s="1"/>
  <c r="J181" i="23" s="1"/>
  <c r="H180" i="23"/>
  <c r="H179" i="23"/>
  <c r="H178" i="23"/>
  <c r="I178" i="23" s="1"/>
  <c r="J178" i="23" s="1"/>
  <c r="H177" i="23"/>
  <c r="I177" i="23" s="1"/>
  <c r="J177" i="23" s="1"/>
  <c r="H176" i="23"/>
  <c r="I176" i="23" s="1"/>
  <c r="H175" i="23"/>
  <c r="H174" i="23"/>
  <c r="I174" i="23" s="1"/>
  <c r="J174" i="23" s="1"/>
  <c r="H173" i="23"/>
  <c r="I173" i="23" s="1"/>
  <c r="J173" i="23" s="1"/>
  <c r="H171" i="23"/>
  <c r="I171" i="23" s="1"/>
  <c r="H170" i="23"/>
  <c r="H169" i="23"/>
  <c r="I169" i="23" s="1"/>
  <c r="J169" i="23" s="1"/>
  <c r="H168" i="23"/>
  <c r="I168" i="23" s="1"/>
  <c r="J168" i="23" s="1"/>
  <c r="H167" i="23"/>
  <c r="H166" i="23"/>
  <c r="H165" i="23"/>
  <c r="I165" i="23" s="1"/>
  <c r="J165" i="23" s="1"/>
  <c r="I164" i="23"/>
  <c r="J164" i="23" s="1"/>
  <c r="H164" i="23"/>
  <c r="H163" i="23"/>
  <c r="I163" i="23" s="1"/>
  <c r="H162" i="23"/>
  <c r="H161" i="23"/>
  <c r="I161" i="23" s="1"/>
  <c r="J161" i="23" s="1"/>
  <c r="H160" i="23"/>
  <c r="I160" i="23" s="1"/>
  <c r="J160" i="23" s="1"/>
  <c r="H159" i="23"/>
  <c r="H158" i="23"/>
  <c r="H156" i="23"/>
  <c r="I156" i="23" s="1"/>
  <c r="J156" i="23" s="1"/>
  <c r="H155" i="23"/>
  <c r="I155" i="23" s="1"/>
  <c r="J155" i="23" s="1"/>
  <c r="H154" i="23"/>
  <c r="I154" i="23" s="1"/>
  <c r="H153" i="23"/>
  <c r="H152" i="23"/>
  <c r="I152" i="23" s="1"/>
  <c r="J152" i="23" s="1"/>
  <c r="H151" i="23"/>
  <c r="I151" i="23" s="1"/>
  <c r="J151" i="23" s="1"/>
  <c r="H150" i="23"/>
  <c r="H149" i="23"/>
  <c r="H148" i="23"/>
  <c r="I148" i="23" s="1"/>
  <c r="J148" i="23" s="1"/>
  <c r="H147" i="23"/>
  <c r="I147" i="23" s="1"/>
  <c r="J147" i="23" s="1"/>
  <c r="H146" i="23"/>
  <c r="I146" i="23" s="1"/>
  <c r="H145" i="23"/>
  <c r="H144" i="23"/>
  <c r="I144" i="23" s="1"/>
  <c r="J144" i="23" s="1"/>
  <c r="H142" i="23"/>
  <c r="I142" i="23" s="1"/>
  <c r="J142" i="23" s="1"/>
  <c r="H141" i="23"/>
  <c r="H140" i="23"/>
  <c r="H139" i="23"/>
  <c r="I139" i="23" s="1"/>
  <c r="J139" i="23" s="1"/>
  <c r="H138" i="23"/>
  <c r="I138" i="23" s="1"/>
  <c r="J138" i="23" s="1"/>
  <c r="H137" i="23"/>
  <c r="I137" i="23" s="1"/>
  <c r="H136" i="23"/>
  <c r="H135" i="23"/>
  <c r="I135" i="23" s="1"/>
  <c r="J135" i="23" s="1"/>
  <c r="H133" i="23"/>
  <c r="I133" i="23" s="1"/>
  <c r="J133" i="23" s="1"/>
  <c r="H132" i="23"/>
  <c r="H131" i="23"/>
  <c r="H130" i="23"/>
  <c r="I130" i="23" s="1"/>
  <c r="J130" i="23" s="1"/>
  <c r="H129" i="23"/>
  <c r="I129" i="23" s="1"/>
  <c r="J129" i="23" s="1"/>
  <c r="H128" i="23"/>
  <c r="I128" i="23" s="1"/>
  <c r="H127" i="23"/>
  <c r="H126" i="23"/>
  <c r="I126" i="23" s="1"/>
  <c r="J126" i="23" s="1"/>
  <c r="H125" i="23"/>
  <c r="I125" i="23" s="1"/>
  <c r="J125" i="23" s="1"/>
  <c r="H123" i="23"/>
  <c r="H122" i="23"/>
  <c r="H121" i="23"/>
  <c r="I121" i="23" s="1"/>
  <c r="J121" i="23" s="1"/>
  <c r="H120" i="23"/>
  <c r="I120" i="23" s="1"/>
  <c r="J120" i="23" s="1"/>
  <c r="H119" i="23"/>
  <c r="H118" i="23"/>
  <c r="H117" i="23"/>
  <c r="I117" i="23" s="1"/>
  <c r="J117" i="23" s="1"/>
  <c r="H116" i="23"/>
  <c r="I116" i="23" s="1"/>
  <c r="J116" i="23" s="1"/>
  <c r="H115" i="23"/>
  <c r="I115" i="23" s="1"/>
  <c r="H114" i="23"/>
  <c r="H112" i="23"/>
  <c r="I112" i="23" s="1"/>
  <c r="J112" i="23" s="1"/>
  <c r="H111" i="23"/>
  <c r="I111" i="23" s="1"/>
  <c r="J111" i="23" s="1"/>
  <c r="H110" i="23"/>
  <c r="H108" i="23"/>
  <c r="H107" i="23"/>
  <c r="I107" i="23" s="1"/>
  <c r="J107" i="23" s="1"/>
  <c r="H105" i="23"/>
  <c r="I105" i="23" s="1"/>
  <c r="J105" i="23" s="1"/>
  <c r="H104" i="23"/>
  <c r="I104" i="23" s="1"/>
  <c r="H103" i="23"/>
  <c r="H101" i="23"/>
  <c r="I101" i="23" s="1"/>
  <c r="J101" i="23" s="1"/>
  <c r="H100" i="23"/>
  <c r="I100" i="23" s="1"/>
  <c r="J100" i="23" s="1"/>
  <c r="H99" i="23"/>
  <c r="H98" i="23"/>
  <c r="H97" i="23"/>
  <c r="I97" i="23" s="1"/>
  <c r="J97" i="23" s="1"/>
  <c r="H96" i="23"/>
  <c r="I96" i="23" s="1"/>
  <c r="J96" i="23" s="1"/>
  <c r="H95" i="23"/>
  <c r="I95" i="23" s="1"/>
  <c r="H94" i="23"/>
  <c r="H93" i="23"/>
  <c r="I93" i="23" s="1"/>
  <c r="J93" i="23" s="1"/>
  <c r="I92" i="23"/>
  <c r="J92" i="23" s="1"/>
  <c r="H92" i="23"/>
  <c r="H91" i="23"/>
  <c r="H90" i="23"/>
  <c r="H89" i="23"/>
  <c r="I89" i="23" s="1"/>
  <c r="J89" i="23" s="1"/>
  <c r="H88" i="23"/>
  <c r="I88" i="23" s="1"/>
  <c r="J88" i="23" s="1"/>
  <c r="H87" i="23"/>
  <c r="I87" i="23" s="1"/>
  <c r="H86" i="23"/>
  <c r="H85" i="23"/>
  <c r="I85" i="23" s="1"/>
  <c r="J85" i="23" s="1"/>
  <c r="H84" i="23"/>
  <c r="I84" i="23" s="1"/>
  <c r="J84" i="23" s="1"/>
  <c r="H83" i="23"/>
  <c r="H82" i="23"/>
  <c r="I82" i="23" s="1"/>
  <c r="J82" i="23" s="1"/>
  <c r="H81" i="23"/>
  <c r="H80" i="23"/>
  <c r="H79" i="23"/>
  <c r="I79" i="23" s="1"/>
  <c r="J79" i="23" s="1"/>
  <c r="H78" i="23"/>
  <c r="I78" i="23" s="1"/>
  <c r="J78" i="23" s="1"/>
  <c r="H77" i="23"/>
  <c r="I77" i="23" s="1"/>
  <c r="H75" i="23"/>
  <c r="H74" i="23"/>
  <c r="I74" i="23" s="1"/>
  <c r="J74" i="23" s="1"/>
  <c r="H73" i="23"/>
  <c r="I73" i="23" s="1"/>
  <c r="J73" i="23" s="1"/>
  <c r="H72" i="23"/>
  <c r="I72" i="23" s="1"/>
  <c r="H71" i="23"/>
  <c r="H70" i="23"/>
  <c r="I70" i="23" s="1"/>
  <c r="J70" i="23" s="1"/>
  <c r="H69" i="23"/>
  <c r="I69" i="23" s="1"/>
  <c r="J69" i="23" s="1"/>
  <c r="H68" i="23"/>
  <c r="H67" i="23"/>
  <c r="H66" i="23"/>
  <c r="I66" i="23" s="1"/>
  <c r="J66" i="23" s="1"/>
  <c r="H65" i="23"/>
  <c r="I65" i="23" s="1"/>
  <c r="J65" i="23" s="1"/>
  <c r="H64" i="23"/>
  <c r="H63" i="23"/>
  <c r="H62" i="23"/>
  <c r="I62" i="23" s="1"/>
  <c r="J62" i="23" s="1"/>
  <c r="H61" i="23"/>
  <c r="I61" i="23" s="1"/>
  <c r="J61" i="23" s="1"/>
  <c r="H60" i="23"/>
  <c r="I60" i="23" s="1"/>
  <c r="H59" i="23"/>
  <c r="H58" i="23"/>
  <c r="I58" i="23" s="1"/>
  <c r="J58" i="23" s="1"/>
  <c r="H57" i="23"/>
  <c r="I57" i="23" s="1"/>
  <c r="J57" i="23" s="1"/>
  <c r="H55" i="23"/>
  <c r="I55" i="23" s="1"/>
  <c r="H54" i="23"/>
  <c r="H53" i="23"/>
  <c r="I53" i="23" s="1"/>
  <c r="J53" i="23" s="1"/>
  <c r="I52" i="23"/>
  <c r="J52" i="23" s="1"/>
  <c r="H52" i="23"/>
  <c r="H51" i="23"/>
  <c r="H50" i="23"/>
  <c r="H49" i="23"/>
  <c r="I49" i="23" s="1"/>
  <c r="J49" i="23" s="1"/>
  <c r="H48" i="23"/>
  <c r="I48" i="23" s="1"/>
  <c r="J48" i="23" s="1"/>
  <c r="H47" i="23"/>
  <c r="I47" i="23" s="1"/>
  <c r="H46" i="23"/>
  <c r="H45" i="23"/>
  <c r="I45" i="23" s="1"/>
  <c r="J45" i="23" s="1"/>
  <c r="H44" i="23"/>
  <c r="I44" i="23" s="1"/>
  <c r="J44" i="23" s="1"/>
  <c r="H43" i="23"/>
  <c r="I43" i="23" s="1"/>
  <c r="H42" i="23"/>
  <c r="H41" i="23"/>
  <c r="I41" i="23" s="1"/>
  <c r="J41" i="23" s="1"/>
  <c r="H40" i="23"/>
  <c r="I40" i="23" s="1"/>
  <c r="J40" i="23" s="1"/>
  <c r="H39" i="23"/>
  <c r="I39" i="23" s="1"/>
  <c r="H38" i="23"/>
  <c r="H37" i="23"/>
  <c r="I37" i="23" s="1"/>
  <c r="J37" i="23" s="1"/>
  <c r="H36" i="23"/>
  <c r="I36" i="23" s="1"/>
  <c r="J36" i="23" s="1"/>
  <c r="H35" i="23"/>
  <c r="H34" i="23"/>
  <c r="H33" i="23"/>
  <c r="I33" i="23" s="1"/>
  <c r="J33" i="23" s="1"/>
  <c r="H32" i="23"/>
  <c r="I32" i="23" s="1"/>
  <c r="J32" i="23" s="1"/>
  <c r="H31" i="23"/>
  <c r="I31" i="23" s="1"/>
  <c r="H30" i="23"/>
  <c r="H29" i="23"/>
  <c r="I29" i="23" s="1"/>
  <c r="J29" i="23" s="1"/>
  <c r="H27" i="23"/>
  <c r="I27" i="23" s="1"/>
  <c r="J27" i="23" s="1"/>
  <c r="H26" i="23"/>
  <c r="I26" i="23" s="1"/>
  <c r="H25" i="23"/>
  <c r="H24" i="23"/>
  <c r="I24" i="23" s="1"/>
  <c r="J24" i="23" s="1"/>
  <c r="H23" i="23"/>
  <c r="I23" i="23" s="1"/>
  <c r="J23" i="23" s="1"/>
  <c r="H22" i="23"/>
  <c r="I22" i="23" s="1"/>
  <c r="H21" i="23"/>
  <c r="H20" i="23"/>
  <c r="I20" i="23" s="1"/>
  <c r="J20" i="23" s="1"/>
  <c r="H19" i="23"/>
  <c r="I19" i="23" s="1"/>
  <c r="J19" i="23" s="1"/>
  <c r="H18" i="23"/>
  <c r="I18" i="23" s="1"/>
  <c r="H17" i="23"/>
  <c r="H16" i="23"/>
  <c r="I16" i="23" s="1"/>
  <c r="J16" i="23" s="1"/>
  <c r="H15" i="23"/>
  <c r="I15" i="23" s="1"/>
  <c r="J15" i="23" s="1"/>
  <c r="H14" i="23"/>
  <c r="H13" i="23"/>
  <c r="H12" i="23"/>
  <c r="I12" i="23" s="1"/>
  <c r="J12" i="23" s="1"/>
  <c r="H11" i="23"/>
  <c r="I11" i="23" s="1"/>
  <c r="J11" i="23" s="1"/>
  <c r="H10" i="23"/>
  <c r="I10" i="23" s="1"/>
  <c r="H9" i="23"/>
  <c r="H8" i="23"/>
  <c r="I8" i="23" s="1"/>
  <c r="J8" i="23" s="1"/>
  <c r="H7" i="23"/>
  <c r="I7" i="23" s="1"/>
  <c r="J7" i="23" s="1"/>
  <c r="H6" i="23"/>
  <c r="H5" i="23"/>
  <c r="H4" i="23"/>
  <c r="I4" i="23" s="1"/>
  <c r="J4" i="23" s="1"/>
  <c r="J256" i="23" l="1"/>
  <c r="J313" i="23"/>
  <c r="J380" i="23"/>
  <c r="J278" i="23"/>
  <c r="J270" i="23"/>
  <c r="J487" i="23"/>
  <c r="I517" i="23"/>
  <c r="J517" i="23" s="1"/>
  <c r="L517" i="23" s="1"/>
  <c r="M517" i="23" s="1"/>
  <c r="O517" i="23" s="1"/>
  <c r="P517" i="23" s="1"/>
  <c r="J245" i="23"/>
  <c r="L245" i="23" s="1"/>
  <c r="J253" i="23"/>
  <c r="J261" i="23"/>
  <c r="L261" i="23" s="1"/>
  <c r="J268" i="23"/>
  <c r="I304" i="23"/>
  <c r="J304" i="23"/>
  <c r="L304" i="23" s="1"/>
  <c r="M304" i="23" s="1"/>
  <c r="O304" i="23" s="1"/>
  <c r="P304" i="23" s="1"/>
  <c r="J346" i="23"/>
  <c r="I371" i="23"/>
  <c r="J371" i="23" s="1"/>
  <c r="L371" i="23" s="1"/>
  <c r="M371" i="23" s="1"/>
  <c r="O371" i="23" s="1"/>
  <c r="P371" i="23" s="1"/>
  <c r="L480" i="23"/>
  <c r="M480" i="23" s="1"/>
  <c r="O480" i="23" s="1"/>
  <c r="P480" i="23" s="1"/>
  <c r="I545" i="23"/>
  <c r="J545" i="23" s="1"/>
  <c r="I321" i="23"/>
  <c r="J321" i="23"/>
  <c r="L321" i="23" s="1"/>
  <c r="I388" i="23"/>
  <c r="J388" i="23"/>
  <c r="L388" i="23" s="1"/>
  <c r="J353" i="23"/>
  <c r="L353" i="23" s="1"/>
  <c r="I447" i="23"/>
  <c r="J447" i="23" s="1"/>
  <c r="L462" i="23"/>
  <c r="M462" i="23" s="1"/>
  <c r="O462" i="23" s="1"/>
  <c r="P462" i="23" s="1"/>
  <c r="I527" i="23"/>
  <c r="J527" i="23" s="1"/>
  <c r="I4" i="29"/>
  <c r="J4" i="29" s="1"/>
  <c r="L4" i="29" s="1"/>
  <c r="J285" i="23"/>
  <c r="J295" i="23"/>
  <c r="L295" i="23" s="1"/>
  <c r="M295" i="23" s="1"/>
  <c r="O295" i="23" s="1"/>
  <c r="P295" i="23" s="1"/>
  <c r="I299" i="23"/>
  <c r="J299" i="23" s="1"/>
  <c r="L299" i="23" s="1"/>
  <c r="M299" i="23" s="1"/>
  <c r="O299" i="23" s="1"/>
  <c r="P299" i="23" s="1"/>
  <c r="J363" i="23"/>
  <c r="I366" i="23"/>
  <c r="J366" i="23" s="1"/>
  <c r="J399" i="23"/>
  <c r="L399" i="23" s="1"/>
  <c r="I507" i="23"/>
  <c r="J507" i="23" s="1"/>
  <c r="L507" i="23" s="1"/>
  <c r="J471" i="23"/>
  <c r="I484" i="23"/>
  <c r="J484" i="23" s="1"/>
  <c r="L484" i="23" s="1"/>
  <c r="M484" i="23" s="1"/>
  <c r="O484" i="23" s="1"/>
  <c r="P484" i="23" s="1"/>
  <c r="I491" i="23"/>
  <c r="J491" i="23" s="1"/>
  <c r="L491" i="23" s="1"/>
  <c r="M491" i="23" s="1"/>
  <c r="O491" i="23" s="1"/>
  <c r="P491" i="23" s="1"/>
  <c r="I503" i="23"/>
  <c r="J503" i="23" s="1"/>
  <c r="I522" i="23"/>
  <c r="J522" i="23" s="1"/>
  <c r="I540" i="23"/>
  <c r="J540" i="23" s="1"/>
  <c r="J329" i="23"/>
  <c r="J355" i="23"/>
  <c r="L355" i="23" s="1"/>
  <c r="J428" i="23"/>
  <c r="L428" i="23" s="1"/>
  <c r="M428" i="23" s="1"/>
  <c r="O428" i="23" s="1"/>
  <c r="P428" i="23" s="1"/>
  <c r="J431" i="23"/>
  <c r="L431" i="23" s="1"/>
  <c r="L7" i="29"/>
  <c r="M7" i="29" s="1"/>
  <c r="O7" i="29" s="1"/>
  <c r="P7" i="29" s="1"/>
  <c r="L3" i="29"/>
  <c r="M3" i="29" s="1"/>
  <c r="O3" i="29" s="1"/>
  <c r="P3" i="29" s="1"/>
  <c r="I6" i="29"/>
  <c r="J6" i="29" s="1"/>
  <c r="I5" i="29"/>
  <c r="J5" i="29" s="1"/>
  <c r="L11" i="23"/>
  <c r="M11" i="23" s="1"/>
  <c r="O11" i="23" s="1"/>
  <c r="P11" i="23" s="1"/>
  <c r="L24" i="23"/>
  <c r="M24" i="23" s="1"/>
  <c r="O24" i="23" s="1"/>
  <c r="P24" i="23" s="1"/>
  <c r="M44" i="23"/>
  <c r="O44" i="23" s="1"/>
  <c r="P44" i="23" s="1"/>
  <c r="L44" i="23"/>
  <c r="L61" i="23"/>
  <c r="M61" i="23" s="1"/>
  <c r="O61" i="23" s="1"/>
  <c r="P61" i="23" s="1"/>
  <c r="L78" i="23"/>
  <c r="M78" i="23" s="1"/>
  <c r="O78" i="23" s="1"/>
  <c r="P78" i="23" s="1"/>
  <c r="L100" i="23"/>
  <c r="M100" i="23" s="1"/>
  <c r="O100" i="23" s="1"/>
  <c r="P100" i="23" s="1"/>
  <c r="L120" i="23"/>
  <c r="M120" i="23" s="1"/>
  <c r="O120" i="23" s="1"/>
  <c r="P120" i="23" s="1"/>
  <c r="L135" i="23"/>
  <c r="M135" i="23" s="1"/>
  <c r="O135" i="23" s="1"/>
  <c r="P135" i="23" s="1"/>
  <c r="L155" i="23"/>
  <c r="M155" i="23" s="1"/>
  <c r="O155" i="23" s="1"/>
  <c r="P155" i="23" s="1"/>
  <c r="L169" i="23"/>
  <c r="M169" i="23" s="1"/>
  <c r="O169" i="23" s="1"/>
  <c r="P169" i="23" s="1"/>
  <c r="L187" i="23"/>
  <c r="M187" i="23" s="1"/>
  <c r="O187" i="23" s="1"/>
  <c r="P187" i="23" s="1"/>
  <c r="L207" i="23"/>
  <c r="M207" i="23" s="1"/>
  <c r="O207" i="23" s="1"/>
  <c r="P207" i="23" s="1"/>
  <c r="L221" i="23"/>
  <c r="M221" i="23" s="1"/>
  <c r="O221" i="23" s="1"/>
  <c r="P221" i="23" s="1"/>
  <c r="L416" i="23"/>
  <c r="M416" i="23"/>
  <c r="O416" i="23" s="1"/>
  <c r="P416" i="23" s="1"/>
  <c r="L15" i="23"/>
  <c r="M15" i="23" s="1"/>
  <c r="O15" i="23" s="1"/>
  <c r="P15" i="23" s="1"/>
  <c r="L29" i="23"/>
  <c r="M29" i="23" s="1"/>
  <c r="O29" i="23" s="1"/>
  <c r="P29" i="23" s="1"/>
  <c r="L48" i="23"/>
  <c r="M48" i="23" s="1"/>
  <c r="O48" i="23" s="1"/>
  <c r="P48" i="23" s="1"/>
  <c r="L62" i="23"/>
  <c r="M62" i="23"/>
  <c r="O62" i="23" s="1"/>
  <c r="P62" i="23" s="1"/>
  <c r="L79" i="23"/>
  <c r="M79" i="23" s="1"/>
  <c r="O79" i="23" s="1"/>
  <c r="P79" i="23" s="1"/>
  <c r="L85" i="23"/>
  <c r="M85" i="23" s="1"/>
  <c r="O85" i="23" s="1"/>
  <c r="P85" i="23" s="1"/>
  <c r="L105" i="23"/>
  <c r="M105" i="23" s="1"/>
  <c r="O105" i="23" s="1"/>
  <c r="P105" i="23" s="1"/>
  <c r="L121" i="23"/>
  <c r="M121" i="23" s="1"/>
  <c r="O121" i="23" s="1"/>
  <c r="P121" i="23" s="1"/>
  <c r="L139" i="23"/>
  <c r="M139" i="23" s="1"/>
  <c r="O139" i="23" s="1"/>
  <c r="P139" i="23" s="1"/>
  <c r="L156" i="23"/>
  <c r="M156" i="23" s="1"/>
  <c r="O156" i="23" s="1"/>
  <c r="P156" i="23" s="1"/>
  <c r="L174" i="23"/>
  <c r="M174" i="23" s="1"/>
  <c r="O174" i="23" s="1"/>
  <c r="P174" i="23" s="1"/>
  <c r="L191" i="23"/>
  <c r="M191" i="23" s="1"/>
  <c r="O191" i="23" s="1"/>
  <c r="P191" i="23" s="1"/>
  <c r="L208" i="23"/>
  <c r="M208" i="23" s="1"/>
  <c r="O208" i="23" s="1"/>
  <c r="P208" i="23" s="1"/>
  <c r="L229" i="23"/>
  <c r="M229" i="23" s="1"/>
  <c r="O229" i="23" s="1"/>
  <c r="P229" i="23" s="1"/>
  <c r="L324" i="23"/>
  <c r="M324" i="23" s="1"/>
  <c r="O324" i="23" s="1"/>
  <c r="P324" i="23" s="1"/>
  <c r="L391" i="23"/>
  <c r="M391" i="23" s="1"/>
  <c r="O391" i="23" s="1"/>
  <c r="P391" i="23" s="1"/>
  <c r="L16" i="23"/>
  <c r="M16" i="23" s="1"/>
  <c r="O16" i="23" s="1"/>
  <c r="P16" i="23" s="1"/>
  <c r="L33" i="23"/>
  <c r="M33" i="23" s="1"/>
  <c r="O33" i="23" s="1"/>
  <c r="P33" i="23" s="1"/>
  <c r="L52" i="23"/>
  <c r="M52" i="23" s="1"/>
  <c r="O52" i="23" s="1"/>
  <c r="P52" i="23" s="1"/>
  <c r="L66" i="23"/>
  <c r="M66" i="23"/>
  <c r="O66" i="23" s="1"/>
  <c r="P66" i="23" s="1"/>
  <c r="L69" i="23"/>
  <c r="M69" i="23" s="1"/>
  <c r="O69" i="23" s="1"/>
  <c r="P69" i="23" s="1"/>
  <c r="L89" i="23"/>
  <c r="M89" i="23" s="1"/>
  <c r="O89" i="23" s="1"/>
  <c r="P89" i="23" s="1"/>
  <c r="L92" i="23"/>
  <c r="M92" i="23" s="1"/>
  <c r="O92" i="23" s="1"/>
  <c r="P92" i="23" s="1"/>
  <c r="L107" i="23"/>
  <c r="M107" i="23" s="1"/>
  <c r="O107" i="23" s="1"/>
  <c r="P107" i="23" s="1"/>
  <c r="L111" i="23"/>
  <c r="M111" i="23" s="1"/>
  <c r="O111" i="23" s="1"/>
  <c r="P111" i="23" s="1"/>
  <c r="L126" i="23"/>
  <c r="M126" i="23" s="1"/>
  <c r="O126" i="23" s="1"/>
  <c r="P126" i="23" s="1"/>
  <c r="L129" i="23"/>
  <c r="M129" i="23" s="1"/>
  <c r="O129" i="23" s="1"/>
  <c r="P129" i="23" s="1"/>
  <c r="L144" i="23"/>
  <c r="M144" i="23" s="1"/>
  <c r="O144" i="23" s="1"/>
  <c r="P144" i="23" s="1"/>
  <c r="L147" i="23"/>
  <c r="M147" i="23" s="1"/>
  <c r="O147" i="23" s="1"/>
  <c r="P147" i="23" s="1"/>
  <c r="L161" i="23"/>
  <c r="M161" i="23" s="1"/>
  <c r="O161" i="23" s="1"/>
  <c r="P161" i="23" s="1"/>
  <c r="L164" i="23"/>
  <c r="M164" i="23" s="1"/>
  <c r="O164" i="23" s="1"/>
  <c r="P164" i="23" s="1"/>
  <c r="L178" i="23"/>
  <c r="M178" i="23" s="1"/>
  <c r="O178" i="23" s="1"/>
  <c r="P178" i="23" s="1"/>
  <c r="L181" i="23"/>
  <c r="M181" i="23" s="1"/>
  <c r="O181" i="23" s="1"/>
  <c r="P181" i="23" s="1"/>
  <c r="L196" i="23"/>
  <c r="M196" i="23" s="1"/>
  <c r="O196" i="23" s="1"/>
  <c r="P196" i="23" s="1"/>
  <c r="L199" i="23"/>
  <c r="M199" i="23" s="1"/>
  <c r="O199" i="23" s="1"/>
  <c r="P199" i="23" s="1"/>
  <c r="L213" i="23"/>
  <c r="M213" i="23" s="1"/>
  <c r="O213" i="23" s="1"/>
  <c r="P213" i="23" s="1"/>
  <c r="L216" i="23"/>
  <c r="M216" i="23" s="1"/>
  <c r="O216" i="23" s="1"/>
  <c r="P216" i="23" s="1"/>
  <c r="L230" i="23"/>
  <c r="M230" i="23" s="1"/>
  <c r="O230" i="23" s="1"/>
  <c r="P230" i="23" s="1"/>
  <c r="L233" i="23"/>
  <c r="M233" i="23" s="1"/>
  <c r="O233" i="23" s="1"/>
  <c r="P233" i="23" s="1"/>
  <c r="L239" i="23"/>
  <c r="M239" i="23" s="1"/>
  <c r="O239" i="23" s="1"/>
  <c r="P239" i="23" s="1"/>
  <c r="L248" i="23"/>
  <c r="M248" i="23" s="1"/>
  <c r="O248" i="23" s="1"/>
  <c r="P248" i="23" s="1"/>
  <c r="L265" i="23"/>
  <c r="M265" i="23" s="1"/>
  <c r="O265" i="23" s="1"/>
  <c r="P265" i="23" s="1"/>
  <c r="L273" i="23"/>
  <c r="M273" i="23" s="1"/>
  <c r="O273" i="23" s="1"/>
  <c r="P273" i="23" s="1"/>
  <c r="L475" i="23"/>
  <c r="M475" i="23" s="1"/>
  <c r="O475" i="23" s="1"/>
  <c r="P475" i="23" s="1"/>
  <c r="L8" i="23"/>
  <c r="M8" i="23" s="1"/>
  <c r="O8" i="23" s="1"/>
  <c r="P8" i="23" s="1"/>
  <c r="L27" i="23"/>
  <c r="M27" i="23" s="1"/>
  <c r="O27" i="23" s="1"/>
  <c r="P27" i="23" s="1"/>
  <c r="L41" i="23"/>
  <c r="M41" i="23" s="1"/>
  <c r="O41" i="23" s="1"/>
  <c r="P41" i="23" s="1"/>
  <c r="L58" i="23"/>
  <c r="M58" i="23" s="1"/>
  <c r="O58" i="23" s="1"/>
  <c r="P58" i="23" s="1"/>
  <c r="L74" i="23"/>
  <c r="M74" i="23" s="1"/>
  <c r="O74" i="23" s="1"/>
  <c r="P74" i="23" s="1"/>
  <c r="L84" i="23"/>
  <c r="M84" i="23" s="1"/>
  <c r="O84" i="23" s="1"/>
  <c r="P84" i="23" s="1"/>
  <c r="L97" i="23"/>
  <c r="M97" i="23" s="1"/>
  <c r="O97" i="23" s="1"/>
  <c r="P97" i="23" s="1"/>
  <c r="L117" i="23"/>
  <c r="M117" i="23" s="1"/>
  <c r="O117" i="23" s="1"/>
  <c r="P117" i="23" s="1"/>
  <c r="L138" i="23"/>
  <c r="M138" i="23" s="1"/>
  <c r="O138" i="23" s="1"/>
  <c r="P138" i="23" s="1"/>
  <c r="L152" i="23"/>
  <c r="M152" i="23" s="1"/>
  <c r="O152" i="23" s="1"/>
  <c r="P152" i="23" s="1"/>
  <c r="L173" i="23"/>
  <c r="M173" i="23" s="1"/>
  <c r="O173" i="23" s="1"/>
  <c r="P173" i="23" s="1"/>
  <c r="L190" i="23"/>
  <c r="M190" i="23" s="1"/>
  <c r="O190" i="23" s="1"/>
  <c r="P190" i="23" s="1"/>
  <c r="L204" i="23"/>
  <c r="M204" i="23" s="1"/>
  <c r="O204" i="23" s="1"/>
  <c r="P204" i="23" s="1"/>
  <c r="L224" i="23"/>
  <c r="M224" i="23" s="1"/>
  <c r="O224" i="23" s="1"/>
  <c r="P224" i="23" s="1"/>
  <c r="L12" i="23"/>
  <c r="M12" i="23" s="1"/>
  <c r="O12" i="23" s="1"/>
  <c r="P12" i="23" s="1"/>
  <c r="L32" i="23"/>
  <c r="M32" i="23" s="1"/>
  <c r="O32" i="23" s="1"/>
  <c r="P32" i="23" s="1"/>
  <c r="L45" i="23"/>
  <c r="M45" i="23"/>
  <c r="O45" i="23" s="1"/>
  <c r="P45" i="23" s="1"/>
  <c r="L65" i="23"/>
  <c r="M65" i="23" s="1"/>
  <c r="O65" i="23" s="1"/>
  <c r="P65" i="23" s="1"/>
  <c r="L82" i="23"/>
  <c r="M82" i="23" s="1"/>
  <c r="O82" i="23" s="1"/>
  <c r="P82" i="23" s="1"/>
  <c r="L88" i="23"/>
  <c r="M88" i="23" s="1"/>
  <c r="O88" i="23" s="1"/>
  <c r="P88" i="23" s="1"/>
  <c r="L101" i="23"/>
  <c r="M101" i="23" s="1"/>
  <c r="O101" i="23" s="1"/>
  <c r="P101" i="23" s="1"/>
  <c r="L125" i="23"/>
  <c r="M125" i="23" s="1"/>
  <c r="O125" i="23" s="1"/>
  <c r="P125" i="23" s="1"/>
  <c r="L142" i="23"/>
  <c r="M142" i="23" s="1"/>
  <c r="O142" i="23" s="1"/>
  <c r="P142" i="23" s="1"/>
  <c r="L160" i="23"/>
  <c r="M160" i="23" s="1"/>
  <c r="O160" i="23" s="1"/>
  <c r="P160" i="23" s="1"/>
  <c r="L177" i="23"/>
  <c r="M177" i="23" s="1"/>
  <c r="O177" i="23" s="1"/>
  <c r="P177" i="23" s="1"/>
  <c r="L195" i="23"/>
  <c r="M195" i="23" s="1"/>
  <c r="O195" i="23" s="1"/>
  <c r="P195" i="23" s="1"/>
  <c r="L212" i="23"/>
  <c r="M212" i="23" s="1"/>
  <c r="O212" i="23" s="1"/>
  <c r="P212" i="23" s="1"/>
  <c r="L225" i="23"/>
  <c r="M225" i="23" s="1"/>
  <c r="O225" i="23" s="1"/>
  <c r="P225" i="23" s="1"/>
  <c r="L310" i="23"/>
  <c r="M310" i="23" s="1"/>
  <c r="O310" i="23" s="1"/>
  <c r="P310" i="23" s="1"/>
  <c r="L378" i="23"/>
  <c r="M378" i="23" s="1"/>
  <c r="O378" i="23" s="1"/>
  <c r="P378" i="23" s="1"/>
  <c r="L19" i="23"/>
  <c r="M19" i="23" s="1"/>
  <c r="O19" i="23" s="1"/>
  <c r="P19" i="23" s="1"/>
  <c r="J30" i="23"/>
  <c r="L36" i="23"/>
  <c r="M36" i="23" s="1"/>
  <c r="O36" i="23" s="1"/>
  <c r="P36" i="23" s="1"/>
  <c r="L49" i="23"/>
  <c r="M49" i="23" s="1"/>
  <c r="O49" i="23" s="1"/>
  <c r="P49" i="23" s="1"/>
  <c r="L4" i="23"/>
  <c r="M4" i="23" s="1"/>
  <c r="O4" i="23" s="1"/>
  <c r="P4" i="23" s="1"/>
  <c r="L7" i="23"/>
  <c r="M7" i="23" s="1"/>
  <c r="O7" i="23" s="1"/>
  <c r="P7" i="23" s="1"/>
  <c r="L20" i="23"/>
  <c r="M20" i="23" s="1"/>
  <c r="O20" i="23" s="1"/>
  <c r="P20" i="23" s="1"/>
  <c r="L23" i="23"/>
  <c r="M23" i="23" s="1"/>
  <c r="O23" i="23" s="1"/>
  <c r="P23" i="23" s="1"/>
  <c r="L37" i="23"/>
  <c r="M37" i="23" s="1"/>
  <c r="O37" i="23" s="1"/>
  <c r="P37" i="23" s="1"/>
  <c r="L40" i="23"/>
  <c r="M40" i="23" s="1"/>
  <c r="O40" i="23" s="1"/>
  <c r="P40" i="23" s="1"/>
  <c r="L53" i="23"/>
  <c r="M53" i="23" s="1"/>
  <c r="O53" i="23" s="1"/>
  <c r="P53" i="23" s="1"/>
  <c r="M57" i="23"/>
  <c r="O57" i="23" s="1"/>
  <c r="P57" i="23" s="1"/>
  <c r="L57" i="23"/>
  <c r="L70" i="23"/>
  <c r="M70" i="23" s="1"/>
  <c r="O70" i="23" s="1"/>
  <c r="P70" i="23" s="1"/>
  <c r="L73" i="23"/>
  <c r="M73" i="23" s="1"/>
  <c r="O73" i="23" s="1"/>
  <c r="P73" i="23" s="1"/>
  <c r="L93" i="23"/>
  <c r="M93" i="23" s="1"/>
  <c r="O93" i="23" s="1"/>
  <c r="P93" i="23" s="1"/>
  <c r="L96" i="23"/>
  <c r="M96" i="23" s="1"/>
  <c r="O96" i="23" s="1"/>
  <c r="P96" i="23" s="1"/>
  <c r="L112" i="23"/>
  <c r="M112" i="23" s="1"/>
  <c r="O112" i="23" s="1"/>
  <c r="P112" i="23" s="1"/>
  <c r="L116" i="23"/>
  <c r="M116" i="23" s="1"/>
  <c r="O116" i="23" s="1"/>
  <c r="P116" i="23" s="1"/>
  <c r="L130" i="23"/>
  <c r="M130" i="23" s="1"/>
  <c r="O130" i="23" s="1"/>
  <c r="P130" i="23" s="1"/>
  <c r="L133" i="23"/>
  <c r="M133" i="23" s="1"/>
  <c r="O133" i="23" s="1"/>
  <c r="P133" i="23" s="1"/>
  <c r="L148" i="23"/>
  <c r="M148" i="23" s="1"/>
  <c r="O148" i="23" s="1"/>
  <c r="P148" i="23" s="1"/>
  <c r="L151" i="23"/>
  <c r="M151" i="23" s="1"/>
  <c r="O151" i="23" s="1"/>
  <c r="P151" i="23" s="1"/>
  <c r="L165" i="23"/>
  <c r="M165" i="23" s="1"/>
  <c r="O165" i="23" s="1"/>
  <c r="P165" i="23" s="1"/>
  <c r="L168" i="23"/>
  <c r="M168" i="23" s="1"/>
  <c r="O168" i="23" s="1"/>
  <c r="P168" i="23" s="1"/>
  <c r="L182" i="23"/>
  <c r="M182" i="23" s="1"/>
  <c r="O182" i="23" s="1"/>
  <c r="P182" i="23" s="1"/>
  <c r="L186" i="23"/>
  <c r="M186" i="23" s="1"/>
  <c r="O186" i="23" s="1"/>
  <c r="P186" i="23" s="1"/>
  <c r="L200" i="23"/>
  <c r="M200" i="23" s="1"/>
  <c r="O200" i="23" s="1"/>
  <c r="P200" i="23" s="1"/>
  <c r="L203" i="23"/>
  <c r="M203" i="23" s="1"/>
  <c r="O203" i="23" s="1"/>
  <c r="P203" i="23" s="1"/>
  <c r="L217" i="23"/>
  <c r="M217" i="23" s="1"/>
  <c r="O217" i="23" s="1"/>
  <c r="P217" i="23" s="1"/>
  <c r="L220" i="23"/>
  <c r="M220" i="23" s="1"/>
  <c r="O220" i="23" s="1"/>
  <c r="P220" i="23" s="1"/>
  <c r="L234" i="23"/>
  <c r="M234" i="23" s="1"/>
  <c r="O234" i="23" s="1"/>
  <c r="P234" i="23" s="1"/>
  <c r="L237" i="23"/>
  <c r="M237" i="23" s="1"/>
  <c r="O237" i="23" s="1"/>
  <c r="P237" i="23" s="1"/>
  <c r="L242" i="23"/>
  <c r="M242" i="23"/>
  <c r="O242" i="23" s="1"/>
  <c r="P242" i="23" s="1"/>
  <c r="L251" i="23"/>
  <c r="M251" i="23"/>
  <c r="O251" i="23" s="1"/>
  <c r="P251" i="23" s="1"/>
  <c r="L259" i="23"/>
  <c r="M259" i="23"/>
  <c r="O259" i="23" s="1"/>
  <c r="P259" i="23" s="1"/>
  <c r="L276" i="23"/>
  <c r="M276" i="23"/>
  <c r="O276" i="23" s="1"/>
  <c r="P276" i="23" s="1"/>
  <c r="L344" i="23"/>
  <c r="M344" i="23"/>
  <c r="O344" i="23" s="1"/>
  <c r="P344" i="23" s="1"/>
  <c r="I240" i="23"/>
  <c r="J240" i="23" s="1"/>
  <c r="I264" i="23"/>
  <c r="J264" i="23" s="1"/>
  <c r="I274" i="23"/>
  <c r="J274" i="23"/>
  <c r="I289" i="23"/>
  <c r="J289" i="23" s="1"/>
  <c r="L319" i="23"/>
  <c r="M319" i="23"/>
  <c r="O319" i="23" s="1"/>
  <c r="P319" i="23" s="1"/>
  <c r="L358" i="23"/>
  <c r="M358" i="23" s="1"/>
  <c r="O358" i="23" s="1"/>
  <c r="P358" i="23" s="1"/>
  <c r="L386" i="23"/>
  <c r="M386" i="23"/>
  <c r="O386" i="23" s="1"/>
  <c r="P386" i="23" s="1"/>
  <c r="I452" i="23"/>
  <c r="J452" i="23"/>
  <c r="L536" i="23"/>
  <c r="M536" i="23"/>
  <c r="O536" i="23" s="1"/>
  <c r="P536" i="23" s="1"/>
  <c r="I6" i="23"/>
  <c r="J6" i="23" s="1"/>
  <c r="I14" i="23"/>
  <c r="J14" i="23" s="1"/>
  <c r="I35" i="23"/>
  <c r="J35" i="23" s="1"/>
  <c r="I51" i="23"/>
  <c r="J51" i="23" s="1"/>
  <c r="I64" i="23"/>
  <c r="J64" i="23" s="1"/>
  <c r="I68" i="23"/>
  <c r="J68" i="23" s="1"/>
  <c r="I81" i="23"/>
  <c r="J81" i="23" s="1"/>
  <c r="I272" i="23"/>
  <c r="J272" i="23" s="1"/>
  <c r="L303" i="23"/>
  <c r="M303" i="23" s="1"/>
  <c r="O303" i="23" s="1"/>
  <c r="P303" i="23" s="1"/>
  <c r="I317" i="23"/>
  <c r="J317" i="23"/>
  <c r="I322" i="23"/>
  <c r="J322" i="23" s="1"/>
  <c r="L336" i="23"/>
  <c r="M336" i="23" s="1"/>
  <c r="O336" i="23" s="1"/>
  <c r="P336" i="23" s="1"/>
  <c r="I389" i="23"/>
  <c r="J389" i="23" s="1"/>
  <c r="L394" i="23"/>
  <c r="M394" i="23" s="1"/>
  <c r="O394" i="23" s="1"/>
  <c r="P394" i="23" s="1"/>
  <c r="L456" i="23"/>
  <c r="M456" i="23" s="1"/>
  <c r="O456" i="23" s="1"/>
  <c r="P456" i="23" s="1"/>
  <c r="L466" i="23"/>
  <c r="M466" i="23" s="1"/>
  <c r="O466" i="23" s="1"/>
  <c r="P466" i="23" s="1"/>
  <c r="I547" i="23"/>
  <c r="J547" i="23"/>
  <c r="I5" i="23"/>
  <c r="J5" i="23" s="1"/>
  <c r="I9" i="23"/>
  <c r="J9" i="23" s="1"/>
  <c r="J10" i="23"/>
  <c r="I13" i="23"/>
  <c r="J13" i="23" s="1"/>
  <c r="I17" i="23"/>
  <c r="J17" i="23" s="1"/>
  <c r="J18" i="23"/>
  <c r="I21" i="23"/>
  <c r="J21" i="23" s="1"/>
  <c r="J22" i="23"/>
  <c r="I25" i="23"/>
  <c r="J25" i="23" s="1"/>
  <c r="J26" i="23"/>
  <c r="I30" i="23"/>
  <c r="J31" i="23"/>
  <c r="I34" i="23"/>
  <c r="J34" i="23" s="1"/>
  <c r="I38" i="23"/>
  <c r="J38" i="23" s="1"/>
  <c r="J39" i="23"/>
  <c r="I42" i="23"/>
  <c r="J42" i="23" s="1"/>
  <c r="J43" i="23"/>
  <c r="I46" i="23"/>
  <c r="J46" i="23" s="1"/>
  <c r="J47" i="23"/>
  <c r="I50" i="23"/>
  <c r="J50" i="23" s="1"/>
  <c r="I54" i="23"/>
  <c r="J54" i="23" s="1"/>
  <c r="J55" i="23"/>
  <c r="I59" i="23"/>
  <c r="J59" i="23" s="1"/>
  <c r="J60" i="23"/>
  <c r="I63" i="23"/>
  <c r="J63" i="23" s="1"/>
  <c r="I67" i="23"/>
  <c r="J67" i="23" s="1"/>
  <c r="I71" i="23"/>
  <c r="J71" i="23" s="1"/>
  <c r="J72" i="23"/>
  <c r="I75" i="23"/>
  <c r="J75" i="23" s="1"/>
  <c r="J77" i="23"/>
  <c r="I80" i="23"/>
  <c r="J80" i="23" s="1"/>
  <c r="I83" i="23"/>
  <c r="J83" i="23" s="1"/>
  <c r="I86" i="23"/>
  <c r="J86" i="23" s="1"/>
  <c r="I90" i="23"/>
  <c r="J90" i="23" s="1"/>
  <c r="I91" i="23"/>
  <c r="J91" i="23" s="1"/>
  <c r="I94" i="23"/>
  <c r="J94" i="23" s="1"/>
  <c r="I98" i="23"/>
  <c r="J98" i="23" s="1"/>
  <c r="I99" i="23"/>
  <c r="J99" i="23" s="1"/>
  <c r="I103" i="23"/>
  <c r="J103" i="23" s="1"/>
  <c r="I108" i="23"/>
  <c r="J108" i="23" s="1"/>
  <c r="I110" i="23"/>
  <c r="J110" i="23" s="1"/>
  <c r="I114" i="23"/>
  <c r="J114" i="23" s="1"/>
  <c r="I118" i="23"/>
  <c r="J118" i="23" s="1"/>
  <c r="I119" i="23"/>
  <c r="J119" i="23" s="1"/>
  <c r="I122" i="23"/>
  <c r="J122" i="23" s="1"/>
  <c r="I123" i="23"/>
  <c r="J123" i="23" s="1"/>
  <c r="I127" i="23"/>
  <c r="J127" i="23" s="1"/>
  <c r="I131" i="23"/>
  <c r="J131" i="23" s="1"/>
  <c r="I132" i="23"/>
  <c r="J132" i="23" s="1"/>
  <c r="I136" i="23"/>
  <c r="J136" i="23" s="1"/>
  <c r="I140" i="23"/>
  <c r="J140" i="23" s="1"/>
  <c r="I141" i="23"/>
  <c r="J141" i="23" s="1"/>
  <c r="I145" i="23"/>
  <c r="J145" i="23" s="1"/>
  <c r="I149" i="23"/>
  <c r="J149" i="23" s="1"/>
  <c r="I150" i="23"/>
  <c r="J150" i="23" s="1"/>
  <c r="I153" i="23"/>
  <c r="J153" i="23" s="1"/>
  <c r="I158" i="23"/>
  <c r="J158" i="23" s="1"/>
  <c r="I159" i="23"/>
  <c r="J159" i="23" s="1"/>
  <c r="I162" i="23"/>
  <c r="J162" i="23" s="1"/>
  <c r="I166" i="23"/>
  <c r="J166" i="23" s="1"/>
  <c r="I167" i="23"/>
  <c r="J167" i="23" s="1"/>
  <c r="I170" i="23"/>
  <c r="J170" i="23" s="1"/>
  <c r="I175" i="23"/>
  <c r="J175" i="23" s="1"/>
  <c r="I179" i="23"/>
  <c r="J179" i="23" s="1"/>
  <c r="I180" i="23"/>
  <c r="J180" i="23" s="1"/>
  <c r="I184" i="23"/>
  <c r="J184" i="23" s="1"/>
  <c r="I188" i="23"/>
  <c r="J188" i="23" s="1"/>
  <c r="I189" i="23"/>
  <c r="J189" i="23" s="1"/>
  <c r="I192" i="23"/>
  <c r="J192" i="23" s="1"/>
  <c r="I193" i="23"/>
  <c r="J193" i="23" s="1"/>
  <c r="I197" i="23"/>
  <c r="J197" i="23" s="1"/>
  <c r="I201" i="23"/>
  <c r="J201" i="23" s="1"/>
  <c r="I202" i="23"/>
  <c r="J202" i="23" s="1"/>
  <c r="I205" i="23"/>
  <c r="J205" i="23" s="1"/>
  <c r="I210" i="23"/>
  <c r="J210" i="23" s="1"/>
  <c r="I211" i="23"/>
  <c r="J211" i="23" s="1"/>
  <c r="I214" i="23"/>
  <c r="J214" i="23" s="1"/>
  <c r="I218" i="23"/>
  <c r="J218" i="23" s="1"/>
  <c r="I219" i="23"/>
  <c r="J219" i="23" s="1"/>
  <c r="I222" i="23"/>
  <c r="J222" i="23" s="1"/>
  <c r="I227" i="23"/>
  <c r="J227" i="23" s="1"/>
  <c r="I228" i="23"/>
  <c r="J228" i="23" s="1"/>
  <c r="I231" i="23"/>
  <c r="J231" i="23" s="1"/>
  <c r="I235" i="23"/>
  <c r="J235" i="23" s="1"/>
  <c r="I247" i="23"/>
  <c r="J247" i="23" s="1"/>
  <c r="I257" i="23"/>
  <c r="J257" i="23" s="1"/>
  <c r="L278" i="23"/>
  <c r="M278" i="23" s="1"/>
  <c r="O278" i="23" s="1"/>
  <c r="P278" i="23" s="1"/>
  <c r="L282" i="23"/>
  <c r="M282" i="23" s="1"/>
  <c r="O282" i="23" s="1"/>
  <c r="P282" i="23" s="1"/>
  <c r="L285" i="23"/>
  <c r="M285" i="23" s="1"/>
  <c r="O285" i="23" s="1"/>
  <c r="P285" i="23" s="1"/>
  <c r="L307" i="23"/>
  <c r="M307" i="23" s="1"/>
  <c r="O307" i="23" s="1"/>
  <c r="P307" i="23" s="1"/>
  <c r="I315" i="23"/>
  <c r="J315" i="23" s="1"/>
  <c r="I323" i="23"/>
  <c r="J323" i="23" s="1"/>
  <c r="I342" i="23"/>
  <c r="J342" i="23"/>
  <c r="L349" i="23"/>
  <c r="M349" i="23" s="1"/>
  <c r="O349" i="23" s="1"/>
  <c r="P349" i="23" s="1"/>
  <c r="L375" i="23"/>
  <c r="M375" i="23" s="1"/>
  <c r="O375" i="23" s="1"/>
  <c r="P375" i="23" s="1"/>
  <c r="I382" i="23"/>
  <c r="J382" i="23" s="1"/>
  <c r="I390" i="23"/>
  <c r="J390" i="23" s="1"/>
  <c r="I396" i="23"/>
  <c r="J396" i="23" s="1"/>
  <c r="I398" i="23"/>
  <c r="J398" i="23" s="1"/>
  <c r="M417" i="23"/>
  <c r="O417" i="23" s="1"/>
  <c r="P417" i="23" s="1"/>
  <c r="L417" i="23"/>
  <c r="I500" i="23"/>
  <c r="J500" i="23" s="1"/>
  <c r="L256" i="23"/>
  <c r="M256" i="23" s="1"/>
  <c r="O256" i="23" s="1"/>
  <c r="P256" i="23" s="1"/>
  <c r="L268" i="23"/>
  <c r="M268" i="23" s="1"/>
  <c r="O268" i="23" s="1"/>
  <c r="P268" i="23" s="1"/>
  <c r="L290" i="23"/>
  <c r="M290" i="23" s="1"/>
  <c r="O290" i="23" s="1"/>
  <c r="P290" i="23" s="1"/>
  <c r="I308" i="23"/>
  <c r="J308" i="23" s="1"/>
  <c r="L316" i="23"/>
  <c r="M316" i="23" s="1"/>
  <c r="O316" i="23" s="1"/>
  <c r="P316" i="23" s="1"/>
  <c r="L341" i="23"/>
  <c r="M341" i="23" s="1"/>
  <c r="O341" i="23" s="1"/>
  <c r="P341" i="23" s="1"/>
  <c r="I348" i="23"/>
  <c r="J348" i="23" s="1"/>
  <c r="J357" i="23"/>
  <c r="I357" i="23"/>
  <c r="I376" i="23"/>
  <c r="J376" i="23" s="1"/>
  <c r="L383" i="23"/>
  <c r="M383" i="23" s="1"/>
  <c r="O383" i="23" s="1"/>
  <c r="P383" i="23" s="1"/>
  <c r="L407" i="23"/>
  <c r="M407" i="23"/>
  <c r="O407" i="23" s="1"/>
  <c r="P407" i="23" s="1"/>
  <c r="L541" i="23"/>
  <c r="M541" i="23" s="1"/>
  <c r="O541" i="23" s="1"/>
  <c r="P541" i="23" s="1"/>
  <c r="L550" i="23"/>
  <c r="M550" i="23" s="1"/>
  <c r="O550" i="23" s="1"/>
  <c r="P550" i="23" s="1"/>
  <c r="J87" i="23"/>
  <c r="J95" i="23"/>
  <c r="J104" i="23"/>
  <c r="J115" i="23"/>
  <c r="J128" i="23"/>
  <c r="J137" i="23"/>
  <c r="J146" i="23"/>
  <c r="J154" i="23"/>
  <c r="J163" i="23"/>
  <c r="J171" i="23"/>
  <c r="J176" i="23"/>
  <c r="J185" i="23"/>
  <c r="J198" i="23"/>
  <c r="J206" i="23"/>
  <c r="J215" i="23"/>
  <c r="J223" i="23"/>
  <c r="J232" i="23"/>
  <c r="J236" i="23"/>
  <c r="I238" i="23"/>
  <c r="J238" i="23" s="1"/>
  <c r="M245" i="23"/>
  <c r="O245" i="23" s="1"/>
  <c r="P245" i="23" s="1"/>
  <c r="I249" i="23"/>
  <c r="J249" i="23"/>
  <c r="I254" i="23"/>
  <c r="J254" i="23" s="1"/>
  <c r="J262" i="23"/>
  <c r="L270" i="23"/>
  <c r="M270" i="23" s="1"/>
  <c r="O270" i="23" s="1"/>
  <c r="P270" i="23" s="1"/>
  <c r="L327" i="23"/>
  <c r="M327" i="23" s="1"/>
  <c r="O327" i="23" s="1"/>
  <c r="P327" i="23" s="1"/>
  <c r="I331" i="23"/>
  <c r="J331" i="23" s="1"/>
  <c r="L338" i="23"/>
  <c r="M338" i="23" s="1"/>
  <c r="O338" i="23" s="1"/>
  <c r="P338" i="23" s="1"/>
  <c r="M345" i="23"/>
  <c r="O345" i="23" s="1"/>
  <c r="P345" i="23" s="1"/>
  <c r="L370" i="23"/>
  <c r="M370" i="23" s="1"/>
  <c r="O370" i="23" s="1"/>
  <c r="P370" i="23" s="1"/>
  <c r="I384" i="23"/>
  <c r="J384" i="23" s="1"/>
  <c r="L432" i="23"/>
  <c r="M432" i="23" s="1"/>
  <c r="O432" i="23" s="1"/>
  <c r="P432" i="23" s="1"/>
  <c r="J246" i="23"/>
  <c r="L253" i="23"/>
  <c r="M253" i="23" s="1"/>
  <c r="O253" i="23" s="1"/>
  <c r="P253" i="23" s="1"/>
  <c r="I255" i="23"/>
  <c r="J255" i="23" s="1"/>
  <c r="M261" i="23"/>
  <c r="O261" i="23" s="1"/>
  <c r="P261" i="23" s="1"/>
  <c r="I266" i="23"/>
  <c r="J266" i="23" s="1"/>
  <c r="I271" i="23"/>
  <c r="J271" i="23" s="1"/>
  <c r="I283" i="23"/>
  <c r="J283" i="23" s="1"/>
  <c r="I288" i="23"/>
  <c r="J288" i="23" s="1"/>
  <c r="L293" i="23"/>
  <c r="M293" i="23" s="1"/>
  <c r="O293" i="23" s="1"/>
  <c r="P293" i="23" s="1"/>
  <c r="I296" i="23"/>
  <c r="J296" i="23" s="1"/>
  <c r="L302" i="23"/>
  <c r="M302" i="23" s="1"/>
  <c r="O302" i="23" s="1"/>
  <c r="P302" i="23" s="1"/>
  <c r="M311" i="23"/>
  <c r="O311" i="23" s="1"/>
  <c r="P311" i="23" s="1"/>
  <c r="L313" i="23"/>
  <c r="M313" i="23" s="1"/>
  <c r="O313" i="23" s="1"/>
  <c r="P313" i="23" s="1"/>
  <c r="L333" i="23"/>
  <c r="M333" i="23" s="1"/>
  <c r="O333" i="23" s="1"/>
  <c r="P333" i="23" s="1"/>
  <c r="L337" i="23"/>
  <c r="M337" i="23" s="1"/>
  <c r="O337" i="23" s="1"/>
  <c r="P337" i="23" s="1"/>
  <c r="I351" i="23"/>
  <c r="J351" i="23"/>
  <c r="I356" i="23"/>
  <c r="J356" i="23" s="1"/>
  <c r="L361" i="23"/>
  <c r="M361" i="23" s="1"/>
  <c r="O361" i="23" s="1"/>
  <c r="P361" i="23" s="1"/>
  <c r="I364" i="23"/>
  <c r="J364" i="23" s="1"/>
  <c r="L369" i="23"/>
  <c r="M369" i="23" s="1"/>
  <c r="O369" i="23" s="1"/>
  <c r="P369" i="23" s="1"/>
  <c r="M379" i="23"/>
  <c r="O379" i="23" s="1"/>
  <c r="P379" i="23" s="1"/>
  <c r="L380" i="23"/>
  <c r="M380" i="23" s="1"/>
  <c r="O380" i="23" s="1"/>
  <c r="P380" i="23" s="1"/>
  <c r="I458" i="23"/>
  <c r="J458" i="23" s="1"/>
  <c r="J468" i="23"/>
  <c r="I468" i="23"/>
  <c r="J241" i="23"/>
  <c r="J250" i="23"/>
  <c r="J258" i="23"/>
  <c r="J267" i="23"/>
  <c r="J275" i="23"/>
  <c r="I300" i="23"/>
  <c r="J300" i="23" s="1"/>
  <c r="I306" i="23"/>
  <c r="J306" i="23" s="1"/>
  <c r="I334" i="23"/>
  <c r="J334" i="23" s="1"/>
  <c r="I340" i="23"/>
  <c r="J340" i="23" s="1"/>
  <c r="I367" i="23"/>
  <c r="J367" i="23"/>
  <c r="I373" i="23"/>
  <c r="J373" i="23" s="1"/>
  <c r="L404" i="23"/>
  <c r="M404" i="23" s="1"/>
  <c r="O404" i="23" s="1"/>
  <c r="P404" i="23" s="1"/>
  <c r="L421" i="23"/>
  <c r="M421" i="23" s="1"/>
  <c r="O421" i="23" s="1"/>
  <c r="P421" i="23" s="1"/>
  <c r="I450" i="23"/>
  <c r="J450" i="23" s="1"/>
  <c r="L487" i="23"/>
  <c r="M487" i="23" s="1"/>
  <c r="O487" i="23" s="1"/>
  <c r="P487" i="23" s="1"/>
  <c r="L498" i="23"/>
  <c r="M498" i="23" s="1"/>
  <c r="O498" i="23" s="1"/>
  <c r="P498" i="23" s="1"/>
  <c r="L504" i="23"/>
  <c r="M504" i="23" s="1"/>
  <c r="O504" i="23" s="1"/>
  <c r="P504" i="23" s="1"/>
  <c r="I538" i="23"/>
  <c r="J538" i="23" s="1"/>
  <c r="M244" i="23"/>
  <c r="O244" i="23" s="1"/>
  <c r="P244" i="23" s="1"/>
  <c r="M252" i="23"/>
  <c r="O252" i="23" s="1"/>
  <c r="P252" i="23" s="1"/>
  <c r="M260" i="23"/>
  <c r="O260" i="23" s="1"/>
  <c r="P260" i="23" s="1"/>
  <c r="M269" i="23"/>
  <c r="O269" i="23" s="1"/>
  <c r="P269" i="23" s="1"/>
  <c r="M277" i="23"/>
  <c r="O277" i="23" s="1"/>
  <c r="P277" i="23" s="1"/>
  <c r="J280" i="23"/>
  <c r="J281" i="23"/>
  <c r="M286" i="23"/>
  <c r="O286" i="23" s="1"/>
  <c r="P286" i="23" s="1"/>
  <c r="M287" i="23"/>
  <c r="O287" i="23" s="1"/>
  <c r="P287" i="23" s="1"/>
  <c r="I291" i="23"/>
  <c r="J291" i="23" s="1"/>
  <c r="L294" i="23"/>
  <c r="M294" i="23" s="1"/>
  <c r="O294" i="23" s="1"/>
  <c r="P294" i="23" s="1"/>
  <c r="I297" i="23"/>
  <c r="J297" i="23" s="1"/>
  <c r="J305" i="23"/>
  <c r="I314" i="23"/>
  <c r="J314" i="23" s="1"/>
  <c r="M320" i="23"/>
  <c r="O320" i="23" s="1"/>
  <c r="P320" i="23" s="1"/>
  <c r="M321" i="23"/>
  <c r="O321" i="23" s="1"/>
  <c r="P321" i="23" s="1"/>
  <c r="I325" i="23"/>
  <c r="J325" i="23" s="1"/>
  <c r="L328" i="23"/>
  <c r="M328" i="23" s="1"/>
  <c r="O328" i="23" s="1"/>
  <c r="P328" i="23" s="1"/>
  <c r="L329" i="23"/>
  <c r="M329" i="23" s="1"/>
  <c r="O329" i="23" s="1"/>
  <c r="P329" i="23" s="1"/>
  <c r="I332" i="23"/>
  <c r="J332" i="23" s="1"/>
  <c r="J339" i="23"/>
  <c r="I347" i="23"/>
  <c r="J347" i="23" s="1"/>
  <c r="M354" i="23"/>
  <c r="O354" i="23" s="1"/>
  <c r="P354" i="23" s="1"/>
  <c r="M355" i="23"/>
  <c r="O355" i="23" s="1"/>
  <c r="P355" i="23" s="1"/>
  <c r="I359" i="23"/>
  <c r="J359" i="23" s="1"/>
  <c r="L362" i="23"/>
  <c r="M362" i="23" s="1"/>
  <c r="O362" i="23" s="1"/>
  <c r="P362" i="23" s="1"/>
  <c r="L363" i="23"/>
  <c r="M363" i="23" s="1"/>
  <c r="O363" i="23" s="1"/>
  <c r="P363" i="23" s="1"/>
  <c r="J365" i="23"/>
  <c r="I365" i="23"/>
  <c r="J372" i="23"/>
  <c r="I381" i="23"/>
  <c r="J381" i="23" s="1"/>
  <c r="M387" i="23"/>
  <c r="O387" i="23" s="1"/>
  <c r="P387" i="23" s="1"/>
  <c r="M388" i="23"/>
  <c r="O388" i="23" s="1"/>
  <c r="P388" i="23" s="1"/>
  <c r="I392" i="23"/>
  <c r="J392" i="23"/>
  <c r="I410" i="23"/>
  <c r="J410" i="23" s="1"/>
  <c r="I419" i="23"/>
  <c r="J419" i="23" s="1"/>
  <c r="I425" i="23"/>
  <c r="J425" i="23" s="1"/>
  <c r="L427" i="23"/>
  <c r="M427" i="23" s="1"/>
  <c r="O427" i="23" s="1"/>
  <c r="P427" i="23" s="1"/>
  <c r="I477" i="23"/>
  <c r="J477" i="23" s="1"/>
  <c r="I509" i="23"/>
  <c r="J509" i="23" s="1"/>
  <c r="L513" i="23"/>
  <c r="M513" i="23" s="1"/>
  <c r="O513" i="23" s="1"/>
  <c r="P513" i="23" s="1"/>
  <c r="J335" i="23"/>
  <c r="L412" i="23"/>
  <c r="M412" i="23" s="1"/>
  <c r="O412" i="23" s="1"/>
  <c r="P412" i="23" s="1"/>
  <c r="L443" i="23"/>
  <c r="M443" i="23" s="1"/>
  <c r="O443" i="23" s="1"/>
  <c r="P443" i="23" s="1"/>
  <c r="I520" i="23"/>
  <c r="J520" i="23" s="1"/>
  <c r="L523" i="23"/>
  <c r="M523" i="23" s="1"/>
  <c r="O523" i="23" s="1"/>
  <c r="P523" i="23" s="1"/>
  <c r="I284" i="23"/>
  <c r="J284" i="23" s="1"/>
  <c r="I292" i="23"/>
  <c r="J292" i="23" s="1"/>
  <c r="I301" i="23"/>
  <c r="J301" i="23" s="1"/>
  <c r="I309" i="23"/>
  <c r="J309" i="23" s="1"/>
  <c r="I318" i="23"/>
  <c r="J318" i="23" s="1"/>
  <c r="I326" i="23"/>
  <c r="J326" i="23" s="1"/>
  <c r="I335" i="23"/>
  <c r="I343" i="23"/>
  <c r="J343" i="23" s="1"/>
  <c r="I352" i="23"/>
  <c r="J352" i="23" s="1"/>
  <c r="I360" i="23"/>
  <c r="J360" i="23" s="1"/>
  <c r="I368" i="23"/>
  <c r="J368" i="23" s="1"/>
  <c r="I377" i="23"/>
  <c r="J377" i="23" s="1"/>
  <c r="I385" i="23"/>
  <c r="J385" i="23" s="1"/>
  <c r="I393" i="23"/>
  <c r="J393" i="23" s="1"/>
  <c r="I409" i="23"/>
  <c r="J409" i="23"/>
  <c r="I411" i="23"/>
  <c r="J411" i="23" s="1"/>
  <c r="J418" i="23"/>
  <c r="J420" i="23"/>
  <c r="I422" i="23"/>
  <c r="J422" i="23" s="1"/>
  <c r="I434" i="23"/>
  <c r="J434" i="23" s="1"/>
  <c r="J437" i="23"/>
  <c r="I451" i="23"/>
  <c r="J451" i="23" s="1"/>
  <c r="J457" i="23"/>
  <c r="L459" i="23"/>
  <c r="M459" i="23" s="1"/>
  <c r="O459" i="23" s="1"/>
  <c r="P459" i="23" s="1"/>
  <c r="J467" i="23"/>
  <c r="L469" i="23"/>
  <c r="M469" i="23" s="1"/>
  <c r="O469" i="23" s="1"/>
  <c r="P469" i="23" s="1"/>
  <c r="J476" i="23"/>
  <c r="L478" i="23"/>
  <c r="M478" i="23"/>
  <c r="O478" i="23" s="1"/>
  <c r="P478" i="23" s="1"/>
  <c r="J485" i="23"/>
  <c r="I492" i="23"/>
  <c r="J492" i="23" s="1"/>
  <c r="L495" i="23"/>
  <c r="M495" i="23" s="1"/>
  <c r="O495" i="23" s="1"/>
  <c r="P495" i="23" s="1"/>
  <c r="I529" i="23"/>
  <c r="J529" i="23" s="1"/>
  <c r="L533" i="23"/>
  <c r="M533" i="23" s="1"/>
  <c r="O533" i="23" s="1"/>
  <c r="P533" i="23" s="1"/>
  <c r="M408" i="23"/>
  <c r="O408" i="23" s="1"/>
  <c r="P408" i="23" s="1"/>
  <c r="I413" i="23"/>
  <c r="J413" i="23"/>
  <c r="J474" i="23"/>
  <c r="L551" i="23"/>
  <c r="M551" i="23" s="1"/>
  <c r="O551" i="23" s="1"/>
  <c r="P551" i="23" s="1"/>
  <c r="M399" i="23"/>
  <c r="O399" i="23" s="1"/>
  <c r="P399" i="23" s="1"/>
  <c r="J401" i="23"/>
  <c r="I402" i="23"/>
  <c r="J402" i="23" s="1"/>
  <c r="J403" i="23"/>
  <c r="I405" i="23"/>
  <c r="J405" i="23" s="1"/>
  <c r="L408" i="23"/>
  <c r="J429" i="23"/>
  <c r="M438" i="23"/>
  <c r="O438" i="23" s="1"/>
  <c r="P438" i="23" s="1"/>
  <c r="J440" i="23"/>
  <c r="I441" i="23"/>
  <c r="J441" i="23" s="1"/>
  <c r="J442" i="23"/>
  <c r="I445" i="23"/>
  <c r="J445" i="23" s="1"/>
  <c r="L448" i="23"/>
  <c r="M448" i="23" s="1"/>
  <c r="O448" i="23" s="1"/>
  <c r="P448" i="23" s="1"/>
  <c r="I455" i="23"/>
  <c r="J455" i="23" s="1"/>
  <c r="L460" i="23"/>
  <c r="M460" i="23" s="1"/>
  <c r="O460" i="23" s="1"/>
  <c r="P460" i="23" s="1"/>
  <c r="I464" i="23"/>
  <c r="J464" i="23" s="1"/>
  <c r="I465" i="23"/>
  <c r="J465" i="23" s="1"/>
  <c r="L470" i="23"/>
  <c r="M470" i="23" s="1"/>
  <c r="O470" i="23" s="1"/>
  <c r="P470" i="23" s="1"/>
  <c r="I473" i="23"/>
  <c r="J473" i="23" s="1"/>
  <c r="I474" i="23"/>
  <c r="L479" i="23"/>
  <c r="M479" i="23" s="1"/>
  <c r="O479" i="23" s="1"/>
  <c r="P479" i="23" s="1"/>
  <c r="I482" i="23"/>
  <c r="J482" i="23" s="1"/>
  <c r="I483" i="23"/>
  <c r="J483" i="23" s="1"/>
  <c r="L489" i="23"/>
  <c r="M489" i="23"/>
  <c r="O489" i="23" s="1"/>
  <c r="P489" i="23" s="1"/>
  <c r="L494" i="23"/>
  <c r="M494" i="23" s="1"/>
  <c r="O494" i="23" s="1"/>
  <c r="P494" i="23" s="1"/>
  <c r="I496" i="23"/>
  <c r="J496" i="23" s="1"/>
  <c r="L499" i="23"/>
  <c r="M499" i="23" s="1"/>
  <c r="O499" i="23" s="1"/>
  <c r="P499" i="23" s="1"/>
  <c r="I505" i="23"/>
  <c r="J505" i="23" s="1"/>
  <c r="L508" i="23"/>
  <c r="M508" i="23" s="1"/>
  <c r="O508" i="23" s="1"/>
  <c r="P508" i="23" s="1"/>
  <c r="L512" i="23"/>
  <c r="M512" i="23" s="1"/>
  <c r="O512" i="23" s="1"/>
  <c r="P512" i="23" s="1"/>
  <c r="I515" i="23"/>
  <c r="J515" i="23"/>
  <c r="M518" i="23"/>
  <c r="O518" i="23" s="1"/>
  <c r="P518" i="23" s="1"/>
  <c r="L518" i="23"/>
  <c r="I525" i="23"/>
  <c r="J525" i="23" s="1"/>
  <c r="L528" i="23"/>
  <c r="M528" i="23" s="1"/>
  <c r="O528" i="23" s="1"/>
  <c r="P528" i="23" s="1"/>
  <c r="L532" i="23"/>
  <c r="M532" i="23" s="1"/>
  <c r="O532" i="23" s="1"/>
  <c r="P532" i="23" s="1"/>
  <c r="I534" i="23"/>
  <c r="J534" i="23"/>
  <c r="L537" i="23"/>
  <c r="M537" i="23" s="1"/>
  <c r="O537" i="23" s="1"/>
  <c r="P537" i="23" s="1"/>
  <c r="I542" i="23"/>
  <c r="J542" i="23" s="1"/>
  <c r="L546" i="23"/>
  <c r="M546" i="23" s="1"/>
  <c r="O546" i="23" s="1"/>
  <c r="P546" i="23" s="1"/>
  <c r="L549" i="23"/>
  <c r="M549" i="23" s="1"/>
  <c r="O549" i="23" s="1"/>
  <c r="P549" i="23" s="1"/>
  <c r="J486" i="23"/>
  <c r="J397" i="23"/>
  <c r="J406" i="23"/>
  <c r="J415" i="23"/>
  <c r="J423" i="23"/>
  <c r="J435" i="23"/>
  <c r="J446" i="23"/>
  <c r="I486" i="23"/>
  <c r="J493" i="23"/>
  <c r="J497" i="23"/>
  <c r="J502" i="23"/>
  <c r="J506" i="23"/>
  <c r="J510" i="23"/>
  <c r="J516" i="23"/>
  <c r="J521" i="23"/>
  <c r="J526" i="23"/>
  <c r="J530" i="23"/>
  <c r="J535" i="23"/>
  <c r="J539" i="23"/>
  <c r="J543" i="23"/>
  <c r="J548" i="23"/>
  <c r="I552" i="23"/>
  <c r="J552" i="23" s="1"/>
  <c r="J488" i="23"/>
  <c r="L503" i="23" l="1"/>
  <c r="M503" i="23" s="1"/>
  <c r="O503" i="23" s="1"/>
  <c r="P503" i="23" s="1"/>
  <c r="L522" i="23"/>
  <c r="M522" i="23" s="1"/>
  <c r="O522" i="23" s="1"/>
  <c r="P522" i="23" s="1"/>
  <c r="L366" i="23"/>
  <c r="M366" i="23" s="1"/>
  <c r="O366" i="23" s="1"/>
  <c r="P366" i="23" s="1"/>
  <c r="L545" i="23"/>
  <c r="M545" i="23" s="1"/>
  <c r="O545" i="23" s="1"/>
  <c r="P545" i="23" s="1"/>
  <c r="L447" i="23"/>
  <c r="M447" i="23" s="1"/>
  <c r="O447" i="23" s="1"/>
  <c r="P447" i="23" s="1"/>
  <c r="L540" i="23"/>
  <c r="M540" i="23" s="1"/>
  <c r="O540" i="23" s="1"/>
  <c r="P540" i="23" s="1"/>
  <c r="L527" i="23"/>
  <c r="M527" i="23" s="1"/>
  <c r="O527" i="23" s="1"/>
  <c r="P527" i="23" s="1"/>
  <c r="M431" i="23"/>
  <c r="O431" i="23" s="1"/>
  <c r="P431" i="23" s="1"/>
  <c r="M507" i="23"/>
  <c r="O507" i="23" s="1"/>
  <c r="P507" i="23" s="1"/>
  <c r="M353" i="23"/>
  <c r="O353" i="23" s="1"/>
  <c r="P353" i="23" s="1"/>
  <c r="L471" i="23"/>
  <c r="M471" i="23" s="1"/>
  <c r="O471" i="23" s="1"/>
  <c r="P471" i="23" s="1"/>
  <c r="L346" i="23"/>
  <c r="M346" i="23" s="1"/>
  <c r="O346" i="23" s="1"/>
  <c r="P346" i="23" s="1"/>
  <c r="M4" i="29"/>
  <c r="O4" i="29" s="1"/>
  <c r="P4" i="29" s="1"/>
  <c r="L6" i="29"/>
  <c r="M6" i="29" s="1"/>
  <c r="O6" i="29" s="1"/>
  <c r="P6" i="29" s="1"/>
  <c r="L5" i="29"/>
  <c r="M5" i="29" s="1"/>
  <c r="O5" i="29" s="1"/>
  <c r="P5" i="29" s="1"/>
  <c r="L306" i="23"/>
  <c r="M306" i="23" s="1"/>
  <c r="O306" i="23" s="1"/>
  <c r="P306" i="23" s="1"/>
  <c r="L308" i="23"/>
  <c r="M308" i="23"/>
  <c r="O308" i="23" s="1"/>
  <c r="P308" i="23" s="1"/>
  <c r="L189" i="23"/>
  <c r="M189" i="23" s="1"/>
  <c r="O189" i="23" s="1"/>
  <c r="P189" i="23" s="1"/>
  <c r="L131" i="23"/>
  <c r="M131" i="23"/>
  <c r="O131" i="23" s="1"/>
  <c r="P131" i="23" s="1"/>
  <c r="L59" i="23"/>
  <c r="M59" i="23" s="1"/>
  <c r="O59" i="23" s="1"/>
  <c r="P59" i="23" s="1"/>
  <c r="L552" i="23"/>
  <c r="M552" i="23"/>
  <c r="O552" i="23" s="1"/>
  <c r="P552" i="23" s="1"/>
  <c r="L393" i="23"/>
  <c r="M393" i="23" s="1"/>
  <c r="O393" i="23" s="1"/>
  <c r="P393" i="23" s="1"/>
  <c r="L360" i="23"/>
  <c r="M360" i="23"/>
  <c r="O360" i="23" s="1"/>
  <c r="P360" i="23" s="1"/>
  <c r="L326" i="23"/>
  <c r="M326" i="23" s="1"/>
  <c r="O326" i="23" s="1"/>
  <c r="P326" i="23" s="1"/>
  <c r="L292" i="23"/>
  <c r="M292" i="23" s="1"/>
  <c r="O292" i="23" s="1"/>
  <c r="P292" i="23" s="1"/>
  <c r="L477" i="23"/>
  <c r="M477" i="23" s="1"/>
  <c r="O477" i="23" s="1"/>
  <c r="P477" i="23" s="1"/>
  <c r="L359" i="23"/>
  <c r="M359" i="23" s="1"/>
  <c r="O359" i="23" s="1"/>
  <c r="P359" i="23" s="1"/>
  <c r="L314" i="23"/>
  <c r="M314" i="23" s="1"/>
  <c r="O314" i="23" s="1"/>
  <c r="P314" i="23" s="1"/>
  <c r="L296" i="23"/>
  <c r="M296" i="23" s="1"/>
  <c r="O296" i="23" s="1"/>
  <c r="P296" i="23" s="1"/>
  <c r="L255" i="23"/>
  <c r="M255" i="23" s="1"/>
  <c r="O255" i="23" s="1"/>
  <c r="P255" i="23" s="1"/>
  <c r="L384" i="23"/>
  <c r="M384" i="23"/>
  <c r="O384" i="23" s="1"/>
  <c r="P384" i="23" s="1"/>
  <c r="L396" i="23"/>
  <c r="M396" i="23" s="1"/>
  <c r="O396" i="23" s="1"/>
  <c r="P396" i="23" s="1"/>
  <c r="L235" i="23"/>
  <c r="M235" i="23"/>
  <c r="O235" i="23" s="1"/>
  <c r="P235" i="23" s="1"/>
  <c r="L214" i="23"/>
  <c r="M214" i="23" s="1"/>
  <c r="O214" i="23" s="1"/>
  <c r="P214" i="23" s="1"/>
  <c r="L188" i="23"/>
  <c r="M188" i="23"/>
  <c r="O188" i="23" s="1"/>
  <c r="P188" i="23" s="1"/>
  <c r="L149" i="23"/>
  <c r="M149" i="23" s="1"/>
  <c r="O149" i="23" s="1"/>
  <c r="P149" i="23" s="1"/>
  <c r="L127" i="23"/>
  <c r="M127" i="23" s="1"/>
  <c r="O127" i="23" s="1"/>
  <c r="P127" i="23" s="1"/>
  <c r="L119" i="23"/>
  <c r="M119" i="23" s="1"/>
  <c r="O119" i="23" s="1"/>
  <c r="P119" i="23" s="1"/>
  <c r="L98" i="23"/>
  <c r="M98" i="23"/>
  <c r="O98" i="23" s="1"/>
  <c r="P98" i="23" s="1"/>
  <c r="L9" i="23"/>
  <c r="M9" i="23" s="1"/>
  <c r="O9" i="23" s="1"/>
  <c r="P9" i="23" s="1"/>
  <c r="L51" i="23"/>
  <c r="M51" i="23" s="1"/>
  <c r="O51" i="23" s="1"/>
  <c r="P51" i="23" s="1"/>
  <c r="L441" i="23"/>
  <c r="M441" i="23"/>
  <c r="O441" i="23" s="1"/>
  <c r="P441" i="23" s="1"/>
  <c r="L451" i="23"/>
  <c r="M451" i="23" s="1"/>
  <c r="O451" i="23" s="1"/>
  <c r="P451" i="23" s="1"/>
  <c r="L347" i="23"/>
  <c r="M347" i="23" s="1"/>
  <c r="O347" i="23" s="1"/>
  <c r="P347" i="23" s="1"/>
  <c r="L283" i="23"/>
  <c r="M283" i="23" s="1"/>
  <c r="O283" i="23" s="1"/>
  <c r="P283" i="23" s="1"/>
  <c r="L348" i="23"/>
  <c r="M348" i="23" s="1"/>
  <c r="O348" i="23" s="1"/>
  <c r="P348" i="23" s="1"/>
  <c r="L398" i="23"/>
  <c r="M398" i="23" s="1"/>
  <c r="O398" i="23" s="1"/>
  <c r="P398" i="23" s="1"/>
  <c r="L247" i="23"/>
  <c r="M247" i="23" s="1"/>
  <c r="O247" i="23" s="1"/>
  <c r="P247" i="23" s="1"/>
  <c r="L197" i="23"/>
  <c r="M197" i="23" s="1"/>
  <c r="O197" i="23" s="1"/>
  <c r="P197" i="23" s="1"/>
  <c r="L140" i="23"/>
  <c r="M140" i="23"/>
  <c r="O140" i="23" s="1"/>
  <c r="P140" i="23" s="1"/>
  <c r="L80" i="23"/>
  <c r="M80" i="23" s="1"/>
  <c r="O80" i="23" s="1"/>
  <c r="P80" i="23" s="1"/>
  <c r="L322" i="23"/>
  <c r="M322" i="23" s="1"/>
  <c r="O322" i="23" s="1"/>
  <c r="P322" i="23" s="1"/>
  <c r="L64" i="23"/>
  <c r="M64" i="23"/>
  <c r="O64" i="23" s="1"/>
  <c r="P64" i="23" s="1"/>
  <c r="L352" i="23"/>
  <c r="M352" i="23" s="1"/>
  <c r="O352" i="23" s="1"/>
  <c r="P352" i="23" s="1"/>
  <c r="L318" i="23"/>
  <c r="M318" i="23" s="1"/>
  <c r="O318" i="23" s="1"/>
  <c r="P318" i="23" s="1"/>
  <c r="L284" i="23"/>
  <c r="M284" i="23" s="1"/>
  <c r="O284" i="23" s="1"/>
  <c r="P284" i="23" s="1"/>
  <c r="L332" i="23"/>
  <c r="M332" i="23" s="1"/>
  <c r="O332" i="23" s="1"/>
  <c r="P332" i="23" s="1"/>
  <c r="L254" i="23"/>
  <c r="M254" i="23" s="1"/>
  <c r="O254" i="23" s="1"/>
  <c r="P254" i="23" s="1"/>
  <c r="L238" i="23"/>
  <c r="M238" i="23"/>
  <c r="O238" i="23" s="1"/>
  <c r="P238" i="23" s="1"/>
  <c r="L390" i="23"/>
  <c r="M390" i="23" s="1"/>
  <c r="O390" i="23" s="1"/>
  <c r="P390" i="23" s="1"/>
  <c r="L231" i="23"/>
  <c r="M231" i="23" s="1"/>
  <c r="O231" i="23" s="1"/>
  <c r="P231" i="23" s="1"/>
  <c r="L222" i="23"/>
  <c r="M222" i="23" s="1"/>
  <c r="O222" i="23" s="1"/>
  <c r="P222" i="23" s="1"/>
  <c r="L211" i="23"/>
  <c r="M211" i="23"/>
  <c r="O211" i="23" s="1"/>
  <c r="P211" i="23" s="1"/>
  <c r="L184" i="23"/>
  <c r="M184" i="23" s="1"/>
  <c r="O184" i="23" s="1"/>
  <c r="P184" i="23" s="1"/>
  <c r="L175" i="23"/>
  <c r="M175" i="23"/>
  <c r="O175" i="23" s="1"/>
  <c r="P175" i="23" s="1"/>
  <c r="L166" i="23"/>
  <c r="M166" i="23" s="1"/>
  <c r="O166" i="23" s="1"/>
  <c r="P166" i="23" s="1"/>
  <c r="L145" i="23"/>
  <c r="M145" i="23" s="1"/>
  <c r="O145" i="23" s="1"/>
  <c r="P145" i="23" s="1"/>
  <c r="L118" i="23"/>
  <c r="M118" i="23" s="1"/>
  <c r="O118" i="23" s="1"/>
  <c r="P118" i="23" s="1"/>
  <c r="L94" i="23"/>
  <c r="M94" i="23" s="1"/>
  <c r="O94" i="23" s="1"/>
  <c r="P94" i="23" s="1"/>
  <c r="L75" i="23"/>
  <c r="M75" i="23" s="1"/>
  <c r="O75" i="23" s="1"/>
  <c r="P75" i="23" s="1"/>
  <c r="L63" i="23"/>
  <c r="M63" i="23" s="1"/>
  <c r="O63" i="23" s="1"/>
  <c r="P63" i="23" s="1"/>
  <c r="L54" i="23"/>
  <c r="M54" i="23" s="1"/>
  <c r="O54" i="23" s="1"/>
  <c r="P54" i="23" s="1"/>
  <c r="L34" i="23"/>
  <c r="M34" i="23" s="1"/>
  <c r="O34" i="23" s="1"/>
  <c r="P34" i="23" s="1"/>
  <c r="L25" i="23"/>
  <c r="M25" i="23"/>
  <c r="O25" i="23" s="1"/>
  <c r="P25" i="23" s="1"/>
  <c r="L17" i="23"/>
  <c r="M17" i="23" s="1"/>
  <c r="O17" i="23" s="1"/>
  <c r="P17" i="23" s="1"/>
  <c r="L5" i="23"/>
  <c r="M5" i="23" s="1"/>
  <c r="O5" i="23" s="1"/>
  <c r="P5" i="23" s="1"/>
  <c r="L389" i="23"/>
  <c r="M389" i="23" s="1"/>
  <c r="O389" i="23" s="1"/>
  <c r="P389" i="23" s="1"/>
  <c r="L35" i="23"/>
  <c r="M35" i="23"/>
  <c r="O35" i="23" s="1"/>
  <c r="P35" i="23" s="1"/>
  <c r="L289" i="23"/>
  <c r="M289" i="23" s="1"/>
  <c r="O289" i="23" s="1"/>
  <c r="P289" i="23" s="1"/>
  <c r="L264" i="23"/>
  <c r="M264" i="23"/>
  <c r="O264" i="23" s="1"/>
  <c r="P264" i="23" s="1"/>
  <c r="L505" i="23"/>
  <c r="M505" i="23" s="1"/>
  <c r="O505" i="23" s="1"/>
  <c r="P505" i="23" s="1"/>
  <c r="L402" i="23"/>
  <c r="M402" i="23"/>
  <c r="O402" i="23" s="1"/>
  <c r="P402" i="23" s="1"/>
  <c r="L500" i="23"/>
  <c r="M500" i="23" s="1"/>
  <c r="O500" i="23" s="1"/>
  <c r="P500" i="23" s="1"/>
  <c r="L315" i="23"/>
  <c r="M315" i="23"/>
  <c r="O315" i="23" s="1"/>
  <c r="P315" i="23" s="1"/>
  <c r="L218" i="23"/>
  <c r="M218" i="23"/>
  <c r="O218" i="23" s="1"/>
  <c r="P218" i="23" s="1"/>
  <c r="L150" i="23"/>
  <c r="M150" i="23"/>
  <c r="O150" i="23" s="1"/>
  <c r="P150" i="23" s="1"/>
  <c r="L110" i="23"/>
  <c r="M110" i="23"/>
  <c r="O110" i="23" s="1"/>
  <c r="P110" i="23" s="1"/>
  <c r="L90" i="23"/>
  <c r="M90" i="23" s="1"/>
  <c r="O90" i="23" s="1"/>
  <c r="P90" i="23" s="1"/>
  <c r="L542" i="23"/>
  <c r="M542" i="23" s="1"/>
  <c r="O542" i="23" s="1"/>
  <c r="P542" i="23" s="1"/>
  <c r="L385" i="23"/>
  <c r="M385" i="23" s="1"/>
  <c r="O385" i="23" s="1"/>
  <c r="P385" i="23" s="1"/>
  <c r="L525" i="23"/>
  <c r="M525" i="23" s="1"/>
  <c r="O525" i="23" s="1"/>
  <c r="P525" i="23" s="1"/>
  <c r="L482" i="23"/>
  <c r="M482" i="23" s="1"/>
  <c r="O482" i="23" s="1"/>
  <c r="P482" i="23" s="1"/>
  <c r="L455" i="23"/>
  <c r="M455" i="23" s="1"/>
  <c r="O455" i="23" s="1"/>
  <c r="P455" i="23" s="1"/>
  <c r="L425" i="23"/>
  <c r="M425" i="23"/>
  <c r="O425" i="23" s="1"/>
  <c r="P425" i="23" s="1"/>
  <c r="L381" i="23"/>
  <c r="M381" i="23" s="1"/>
  <c r="O381" i="23" s="1"/>
  <c r="P381" i="23" s="1"/>
  <c r="L291" i="23"/>
  <c r="M291" i="23" s="1"/>
  <c r="O291" i="23" s="1"/>
  <c r="P291" i="23" s="1"/>
  <c r="L373" i="23"/>
  <c r="M373" i="23"/>
  <c r="O373" i="23" s="1"/>
  <c r="P373" i="23" s="1"/>
  <c r="L458" i="23"/>
  <c r="M458" i="23" s="1"/>
  <c r="O458" i="23" s="1"/>
  <c r="P458" i="23" s="1"/>
  <c r="L356" i="23"/>
  <c r="M356" i="23" s="1"/>
  <c r="O356" i="23" s="1"/>
  <c r="P356" i="23" s="1"/>
  <c r="L288" i="23"/>
  <c r="M288" i="23" s="1"/>
  <c r="O288" i="23" s="1"/>
  <c r="P288" i="23" s="1"/>
  <c r="L219" i="23"/>
  <c r="M219" i="23"/>
  <c r="O219" i="23" s="1"/>
  <c r="P219" i="23" s="1"/>
  <c r="L210" i="23"/>
  <c r="M210" i="23" s="1"/>
  <c r="O210" i="23" s="1"/>
  <c r="P210" i="23" s="1"/>
  <c r="L201" i="23"/>
  <c r="M201" i="23"/>
  <c r="O201" i="23" s="1"/>
  <c r="P201" i="23" s="1"/>
  <c r="L180" i="23"/>
  <c r="M180" i="23" s="1"/>
  <c r="O180" i="23" s="1"/>
  <c r="P180" i="23" s="1"/>
  <c r="L162" i="23"/>
  <c r="M162" i="23"/>
  <c r="O162" i="23" s="1"/>
  <c r="P162" i="23" s="1"/>
  <c r="L153" i="23"/>
  <c r="M153" i="23" s="1"/>
  <c r="O153" i="23" s="1"/>
  <c r="P153" i="23" s="1"/>
  <c r="L141" i="23"/>
  <c r="M141" i="23"/>
  <c r="O141" i="23" s="1"/>
  <c r="P141" i="23" s="1"/>
  <c r="L114" i="23"/>
  <c r="M114" i="23" s="1"/>
  <c r="O114" i="23" s="1"/>
  <c r="P114" i="23" s="1"/>
  <c r="L103" i="23"/>
  <c r="M103" i="23"/>
  <c r="O103" i="23" s="1"/>
  <c r="P103" i="23" s="1"/>
  <c r="L91" i="23"/>
  <c r="M91" i="23" s="1"/>
  <c r="O91" i="23" s="1"/>
  <c r="P91" i="23" s="1"/>
  <c r="L83" i="23"/>
  <c r="M83" i="23"/>
  <c r="O83" i="23" s="1"/>
  <c r="P83" i="23" s="1"/>
  <c r="L50" i="23"/>
  <c r="M50" i="23" s="1"/>
  <c r="O50" i="23" s="1"/>
  <c r="P50" i="23" s="1"/>
  <c r="L42" i="23"/>
  <c r="M42" i="23"/>
  <c r="O42" i="23" s="1"/>
  <c r="P42" i="23" s="1"/>
  <c r="L13" i="23"/>
  <c r="M13" i="23" s="1"/>
  <c r="O13" i="23" s="1"/>
  <c r="P13" i="23" s="1"/>
  <c r="L68" i="23"/>
  <c r="M68" i="23" s="1"/>
  <c r="O68" i="23" s="1"/>
  <c r="P68" i="23" s="1"/>
  <c r="L14" i="23"/>
  <c r="M14" i="23"/>
  <c r="O14" i="23" s="1"/>
  <c r="P14" i="23" s="1"/>
  <c r="L548" i="23"/>
  <c r="M548" i="23" s="1"/>
  <c r="O548" i="23" s="1"/>
  <c r="P548" i="23" s="1"/>
  <c r="L493" i="23"/>
  <c r="M493" i="23"/>
  <c r="O493" i="23" s="1"/>
  <c r="P493" i="23" s="1"/>
  <c r="L429" i="23"/>
  <c r="M429" i="23" s="1"/>
  <c r="O429" i="23" s="1"/>
  <c r="P429" i="23" s="1"/>
  <c r="L411" i="23"/>
  <c r="M411" i="23"/>
  <c r="O411" i="23" s="1"/>
  <c r="P411" i="23" s="1"/>
  <c r="L377" i="23"/>
  <c r="M377" i="23" s="1"/>
  <c r="O377" i="23" s="1"/>
  <c r="P377" i="23" s="1"/>
  <c r="L410" i="23"/>
  <c r="M410" i="23"/>
  <c r="O410" i="23" s="1"/>
  <c r="P410" i="23" s="1"/>
  <c r="L450" i="23"/>
  <c r="M450" i="23" s="1"/>
  <c r="O450" i="23" s="1"/>
  <c r="P450" i="23" s="1"/>
  <c r="L232" i="23"/>
  <c r="M232" i="23" s="1"/>
  <c r="O232" i="23" s="1"/>
  <c r="P232" i="23" s="1"/>
  <c r="L357" i="23"/>
  <c r="M357" i="23"/>
  <c r="O357" i="23" s="1"/>
  <c r="P357" i="23" s="1"/>
  <c r="L364" i="23"/>
  <c r="M364" i="23" s="1"/>
  <c r="O364" i="23" s="1"/>
  <c r="P364" i="23" s="1"/>
  <c r="L179" i="23"/>
  <c r="M179" i="23" s="1"/>
  <c r="O179" i="23" s="1"/>
  <c r="P179" i="23" s="1"/>
  <c r="L122" i="23"/>
  <c r="M122" i="23" s="1"/>
  <c r="O122" i="23" s="1"/>
  <c r="P122" i="23" s="1"/>
  <c r="L43" i="23"/>
  <c r="M43" i="23" s="1"/>
  <c r="O43" i="23" s="1"/>
  <c r="P43" i="23" s="1"/>
  <c r="L167" i="23"/>
  <c r="M167" i="23" s="1"/>
  <c r="O167" i="23" s="1"/>
  <c r="P167" i="23" s="1"/>
  <c r="L81" i="23"/>
  <c r="M81" i="23" s="1"/>
  <c r="O81" i="23" s="1"/>
  <c r="P81" i="23" s="1"/>
  <c r="L30" i="23"/>
  <c r="M30" i="23" s="1"/>
  <c r="O30" i="23" s="1"/>
  <c r="P30" i="23" s="1"/>
  <c r="L6" i="23"/>
  <c r="M6" i="23"/>
  <c r="O6" i="23" s="1"/>
  <c r="P6" i="23" s="1"/>
  <c r="L526" i="23"/>
  <c r="M526" i="23" s="1"/>
  <c r="O526" i="23" s="1"/>
  <c r="P526" i="23" s="1"/>
  <c r="L435" i="23"/>
  <c r="M435" i="23" s="1"/>
  <c r="O435" i="23" s="1"/>
  <c r="P435" i="23" s="1"/>
  <c r="L474" i="23"/>
  <c r="M474" i="23"/>
  <c r="O474" i="23" s="1"/>
  <c r="P474" i="23" s="1"/>
  <c r="L301" i="23"/>
  <c r="M301" i="23" s="1"/>
  <c r="O301" i="23" s="1"/>
  <c r="P301" i="23" s="1"/>
  <c r="L334" i="23"/>
  <c r="M334" i="23"/>
  <c r="O334" i="23" s="1"/>
  <c r="P334" i="23" s="1"/>
  <c r="L267" i="23"/>
  <c r="M267" i="23" s="1"/>
  <c r="O267" i="23" s="1"/>
  <c r="P267" i="23" s="1"/>
  <c r="L185" i="23"/>
  <c r="M185" i="23"/>
  <c r="O185" i="23" s="1"/>
  <c r="P185" i="23" s="1"/>
  <c r="L154" i="23"/>
  <c r="M154" i="23" s="1"/>
  <c r="O154" i="23" s="1"/>
  <c r="P154" i="23" s="1"/>
  <c r="L115" i="23"/>
  <c r="M115" i="23"/>
  <c r="O115" i="23" s="1"/>
  <c r="P115" i="23" s="1"/>
  <c r="L376" i="23"/>
  <c r="M376" i="23" s="1"/>
  <c r="O376" i="23" s="1"/>
  <c r="P376" i="23" s="1"/>
  <c r="L342" i="23"/>
  <c r="M342" i="23"/>
  <c r="O342" i="23" s="1"/>
  <c r="P342" i="23" s="1"/>
  <c r="L257" i="23"/>
  <c r="M257" i="23" s="1"/>
  <c r="O257" i="23" s="1"/>
  <c r="P257" i="23" s="1"/>
  <c r="L72" i="23"/>
  <c r="M72" i="23"/>
  <c r="O72" i="23" s="1"/>
  <c r="P72" i="23" s="1"/>
  <c r="L60" i="23"/>
  <c r="M60" i="23" s="1"/>
  <c r="O60" i="23" s="1"/>
  <c r="P60" i="23" s="1"/>
  <c r="L31" i="23"/>
  <c r="M31" i="23"/>
  <c r="O31" i="23" s="1"/>
  <c r="P31" i="23" s="1"/>
  <c r="L22" i="23"/>
  <c r="M22" i="23" s="1"/>
  <c r="O22" i="23" s="1"/>
  <c r="P22" i="23" s="1"/>
  <c r="L547" i="23"/>
  <c r="M547" i="23" s="1"/>
  <c r="O547" i="23" s="1"/>
  <c r="P547" i="23" s="1"/>
  <c r="L228" i="23"/>
  <c r="M228" i="23" s="1"/>
  <c r="O228" i="23" s="1"/>
  <c r="P228" i="23" s="1"/>
  <c r="L193" i="23"/>
  <c r="M193" i="23" s="1"/>
  <c r="O193" i="23" s="1"/>
  <c r="P193" i="23" s="1"/>
  <c r="L159" i="23"/>
  <c r="M159" i="23"/>
  <c r="O159" i="23" s="1"/>
  <c r="P159" i="23" s="1"/>
  <c r="L123" i="23"/>
  <c r="M123" i="23" s="1"/>
  <c r="O123" i="23" s="1"/>
  <c r="P123" i="23" s="1"/>
  <c r="L331" i="23"/>
  <c r="M331" i="23" s="1"/>
  <c r="O331" i="23" s="1"/>
  <c r="P331" i="23" s="1"/>
  <c r="L67" i="23"/>
  <c r="M67" i="23" s="1"/>
  <c r="O67" i="23" s="1"/>
  <c r="P67" i="23" s="1"/>
  <c r="L21" i="23"/>
  <c r="M21" i="23" s="1"/>
  <c r="O21" i="23" s="1"/>
  <c r="P21" i="23" s="1"/>
  <c r="L46" i="23"/>
  <c r="M46" i="23" s="1"/>
  <c r="O46" i="23" s="1"/>
  <c r="P46" i="23" s="1"/>
  <c r="L71" i="23"/>
  <c r="M71" i="23" s="1"/>
  <c r="O71" i="23" s="1"/>
  <c r="P71" i="23" s="1"/>
  <c r="L38" i="23"/>
  <c r="M38" i="23" s="1"/>
  <c r="O38" i="23" s="1"/>
  <c r="P38" i="23" s="1"/>
  <c r="L510" i="23"/>
  <c r="M510" i="23" s="1"/>
  <c r="O510" i="23" s="1"/>
  <c r="P510" i="23" s="1"/>
  <c r="L406" i="23"/>
  <c r="M406" i="23" s="1"/>
  <c r="O406" i="23" s="1"/>
  <c r="P406" i="23" s="1"/>
  <c r="L465" i="23"/>
  <c r="M465" i="23"/>
  <c r="O465" i="23" s="1"/>
  <c r="P465" i="23" s="1"/>
  <c r="L422" i="23"/>
  <c r="M422" i="23" s="1"/>
  <c r="O422" i="23" s="1"/>
  <c r="P422" i="23" s="1"/>
  <c r="L309" i="23"/>
  <c r="M309" i="23" s="1"/>
  <c r="O309" i="23" s="1"/>
  <c r="P309" i="23" s="1"/>
  <c r="L365" i="23"/>
  <c r="M365" i="23"/>
  <c r="O365" i="23" s="1"/>
  <c r="P365" i="23" s="1"/>
  <c r="L339" i="23"/>
  <c r="M339" i="23" s="1"/>
  <c r="O339" i="23" s="1"/>
  <c r="P339" i="23" s="1"/>
  <c r="L297" i="23"/>
  <c r="M297" i="23" s="1"/>
  <c r="O297" i="23" s="1"/>
  <c r="P297" i="23" s="1"/>
  <c r="L300" i="23"/>
  <c r="M300" i="23" s="1"/>
  <c r="O300" i="23" s="1"/>
  <c r="P300" i="23" s="1"/>
  <c r="L241" i="23"/>
  <c r="M241" i="23" s="1"/>
  <c r="O241" i="23" s="1"/>
  <c r="P241" i="23" s="1"/>
  <c r="L163" i="23"/>
  <c r="M163" i="23" s="1"/>
  <c r="O163" i="23" s="1"/>
  <c r="P163" i="23" s="1"/>
  <c r="L87" i="23"/>
  <c r="M87" i="23" s="1"/>
  <c r="O87" i="23" s="1"/>
  <c r="P87" i="23" s="1"/>
  <c r="L382" i="23"/>
  <c r="M382" i="23"/>
  <c r="O382" i="23" s="1"/>
  <c r="P382" i="23" s="1"/>
  <c r="L323" i="23"/>
  <c r="M323" i="23" s="1"/>
  <c r="O323" i="23" s="1"/>
  <c r="P323" i="23" s="1"/>
  <c r="L271" i="23"/>
  <c r="M271" i="23" s="1"/>
  <c r="O271" i="23" s="1"/>
  <c r="P271" i="23" s="1"/>
  <c r="L227" i="23"/>
  <c r="M227" i="23" s="1"/>
  <c r="O227" i="23" s="1"/>
  <c r="P227" i="23" s="1"/>
  <c r="L205" i="23"/>
  <c r="M205" i="23" s="1"/>
  <c r="O205" i="23" s="1"/>
  <c r="P205" i="23" s="1"/>
  <c r="L158" i="23"/>
  <c r="M158" i="23" s="1"/>
  <c r="O158" i="23" s="1"/>
  <c r="P158" i="23" s="1"/>
  <c r="L136" i="23"/>
  <c r="M136" i="23"/>
  <c r="O136" i="23" s="1"/>
  <c r="P136" i="23" s="1"/>
  <c r="L108" i="23"/>
  <c r="M108" i="23" s="1"/>
  <c r="O108" i="23" s="1"/>
  <c r="P108" i="23" s="1"/>
  <c r="L86" i="23"/>
  <c r="M86" i="23" s="1"/>
  <c r="O86" i="23" s="1"/>
  <c r="P86" i="23" s="1"/>
  <c r="L272" i="23"/>
  <c r="M272" i="23" s="1"/>
  <c r="O272" i="23" s="1"/>
  <c r="P272" i="23" s="1"/>
  <c r="L132" i="23"/>
  <c r="M132" i="23"/>
  <c r="O132" i="23" s="1"/>
  <c r="P132" i="23" s="1"/>
  <c r="L452" i="23"/>
  <c r="M452" i="23" s="1"/>
  <c r="O452" i="23" s="1"/>
  <c r="P452" i="23" s="1"/>
  <c r="L488" i="23"/>
  <c r="M488" i="23" s="1"/>
  <c r="O488" i="23" s="1"/>
  <c r="P488" i="23" s="1"/>
  <c r="L506" i="23"/>
  <c r="M506" i="23" s="1"/>
  <c r="O506" i="23" s="1"/>
  <c r="P506" i="23" s="1"/>
  <c r="L434" i="23"/>
  <c r="M434" i="23" s="1"/>
  <c r="O434" i="23" s="1"/>
  <c r="P434" i="23" s="1"/>
  <c r="L368" i="23"/>
  <c r="M368" i="23" s="1"/>
  <c r="O368" i="23" s="1"/>
  <c r="P368" i="23" s="1"/>
  <c r="L223" i="23"/>
  <c r="M223" i="23" s="1"/>
  <c r="O223" i="23" s="1"/>
  <c r="P223" i="23" s="1"/>
  <c r="L539" i="23"/>
  <c r="M539" i="23" s="1"/>
  <c r="O539" i="23" s="1"/>
  <c r="P539" i="23" s="1"/>
  <c r="L521" i="23"/>
  <c r="M521" i="23"/>
  <c r="O521" i="23" s="1"/>
  <c r="P521" i="23" s="1"/>
  <c r="L502" i="23"/>
  <c r="M502" i="23" s="1"/>
  <c r="O502" i="23" s="1"/>
  <c r="P502" i="23" s="1"/>
  <c r="L423" i="23"/>
  <c r="M423" i="23" s="1"/>
  <c r="O423" i="23" s="1"/>
  <c r="P423" i="23" s="1"/>
  <c r="L486" i="23"/>
  <c r="M486" i="23" s="1"/>
  <c r="O486" i="23" s="1"/>
  <c r="P486" i="23" s="1"/>
  <c r="L445" i="23"/>
  <c r="M445" i="23" s="1"/>
  <c r="O445" i="23" s="1"/>
  <c r="P445" i="23" s="1"/>
  <c r="L440" i="23"/>
  <c r="M440" i="23" s="1"/>
  <c r="O440" i="23" s="1"/>
  <c r="P440" i="23" s="1"/>
  <c r="L405" i="23"/>
  <c r="M405" i="23"/>
  <c r="O405" i="23" s="1"/>
  <c r="P405" i="23" s="1"/>
  <c r="L401" i="23"/>
  <c r="M401" i="23" s="1"/>
  <c r="O401" i="23" s="1"/>
  <c r="P401" i="23" s="1"/>
  <c r="L483" i="23"/>
  <c r="M483" i="23" s="1"/>
  <c r="O483" i="23" s="1"/>
  <c r="P483" i="23" s="1"/>
  <c r="L473" i="23"/>
  <c r="M473" i="23" s="1"/>
  <c r="O473" i="23" s="1"/>
  <c r="P473" i="23" s="1"/>
  <c r="L413" i="23"/>
  <c r="M413" i="23" s="1"/>
  <c r="O413" i="23" s="1"/>
  <c r="P413" i="23" s="1"/>
  <c r="L492" i="23"/>
  <c r="M492" i="23" s="1"/>
  <c r="O492" i="23" s="1"/>
  <c r="P492" i="23" s="1"/>
  <c r="L467" i="23"/>
  <c r="M467" i="23"/>
  <c r="O467" i="23" s="1"/>
  <c r="P467" i="23" s="1"/>
  <c r="L420" i="23"/>
  <c r="M420" i="23" s="1"/>
  <c r="O420" i="23" s="1"/>
  <c r="P420" i="23" s="1"/>
  <c r="L409" i="23"/>
  <c r="M409" i="23" s="1"/>
  <c r="O409" i="23" s="1"/>
  <c r="P409" i="23" s="1"/>
  <c r="L520" i="23"/>
  <c r="M520" i="23" s="1"/>
  <c r="O520" i="23" s="1"/>
  <c r="P520" i="23" s="1"/>
  <c r="L509" i="23"/>
  <c r="M509" i="23" s="1"/>
  <c r="O509" i="23" s="1"/>
  <c r="P509" i="23" s="1"/>
  <c r="L372" i="23"/>
  <c r="M372" i="23" s="1"/>
  <c r="O372" i="23" s="1"/>
  <c r="P372" i="23" s="1"/>
  <c r="L305" i="23"/>
  <c r="M305" i="23" s="1"/>
  <c r="O305" i="23" s="1"/>
  <c r="P305" i="23" s="1"/>
  <c r="L538" i="23"/>
  <c r="M538" i="23" s="1"/>
  <c r="O538" i="23" s="1"/>
  <c r="P538" i="23" s="1"/>
  <c r="L367" i="23"/>
  <c r="M367" i="23"/>
  <c r="O367" i="23" s="1"/>
  <c r="P367" i="23" s="1"/>
  <c r="L258" i="23"/>
  <c r="M258" i="23" s="1"/>
  <c r="O258" i="23" s="1"/>
  <c r="P258" i="23" s="1"/>
  <c r="L351" i="23"/>
  <c r="M351" i="23"/>
  <c r="O351" i="23" s="1"/>
  <c r="P351" i="23" s="1"/>
  <c r="L266" i="23"/>
  <c r="M266" i="23" s="1"/>
  <c r="O266" i="23" s="1"/>
  <c r="P266" i="23" s="1"/>
  <c r="L249" i="23"/>
  <c r="M249" i="23"/>
  <c r="O249" i="23" s="1"/>
  <c r="P249" i="23" s="1"/>
  <c r="L215" i="23"/>
  <c r="M215" i="23" s="1"/>
  <c r="O215" i="23" s="1"/>
  <c r="P215" i="23" s="1"/>
  <c r="L176" i="23"/>
  <c r="M176" i="23" s="1"/>
  <c r="O176" i="23" s="1"/>
  <c r="P176" i="23" s="1"/>
  <c r="L146" i="23"/>
  <c r="M146" i="23" s="1"/>
  <c r="O146" i="23" s="1"/>
  <c r="P146" i="23" s="1"/>
  <c r="L104" i="23"/>
  <c r="M104" i="23"/>
  <c r="O104" i="23" s="1"/>
  <c r="P104" i="23" s="1"/>
  <c r="L47" i="23"/>
  <c r="M47" i="23" s="1"/>
  <c r="O47" i="23" s="1"/>
  <c r="P47" i="23" s="1"/>
  <c r="L39" i="23"/>
  <c r="M39" i="23"/>
  <c r="O39" i="23" s="1"/>
  <c r="P39" i="23" s="1"/>
  <c r="L10" i="23"/>
  <c r="M10" i="23" s="1"/>
  <c r="O10" i="23" s="1"/>
  <c r="P10" i="23" s="1"/>
  <c r="L317" i="23"/>
  <c r="M317" i="23" s="1"/>
  <c r="O317" i="23" s="1"/>
  <c r="P317" i="23" s="1"/>
  <c r="L274" i="23"/>
  <c r="M274" i="23" s="1"/>
  <c r="O274" i="23" s="1"/>
  <c r="P274" i="23" s="1"/>
  <c r="L530" i="23"/>
  <c r="M530" i="23" s="1"/>
  <c r="O530" i="23" s="1"/>
  <c r="P530" i="23" s="1"/>
  <c r="L446" i="23"/>
  <c r="M446" i="23" s="1"/>
  <c r="O446" i="23" s="1"/>
  <c r="P446" i="23" s="1"/>
  <c r="L442" i="23"/>
  <c r="M442" i="23" s="1"/>
  <c r="O442" i="23" s="1"/>
  <c r="P442" i="23" s="1"/>
  <c r="L403" i="23"/>
  <c r="M403" i="23" s="1"/>
  <c r="O403" i="23" s="1"/>
  <c r="P403" i="23" s="1"/>
  <c r="L529" i="23"/>
  <c r="M529" i="23" s="1"/>
  <c r="O529" i="23" s="1"/>
  <c r="P529" i="23" s="1"/>
  <c r="L485" i="23"/>
  <c r="M485" i="23" s="1"/>
  <c r="O485" i="23" s="1"/>
  <c r="P485" i="23" s="1"/>
  <c r="L437" i="23"/>
  <c r="M437" i="23"/>
  <c r="O437" i="23" s="1"/>
  <c r="P437" i="23" s="1"/>
  <c r="L343" i="23"/>
  <c r="M343" i="23" s="1"/>
  <c r="O343" i="23" s="1"/>
  <c r="P343" i="23" s="1"/>
  <c r="L280" i="23"/>
  <c r="M280" i="23" s="1"/>
  <c r="O280" i="23" s="1"/>
  <c r="P280" i="23" s="1"/>
  <c r="L419" i="23"/>
  <c r="M419" i="23" s="1"/>
  <c r="O419" i="23" s="1"/>
  <c r="P419" i="23" s="1"/>
  <c r="L340" i="23"/>
  <c r="M340" i="23"/>
  <c r="O340" i="23" s="1"/>
  <c r="P340" i="23" s="1"/>
  <c r="L275" i="23"/>
  <c r="M275" i="23" s="1"/>
  <c r="O275" i="23" s="1"/>
  <c r="P275" i="23" s="1"/>
  <c r="L468" i="23"/>
  <c r="M468" i="23" s="1"/>
  <c r="O468" i="23" s="1"/>
  <c r="P468" i="23" s="1"/>
  <c r="L246" i="23"/>
  <c r="M246" i="23" s="1"/>
  <c r="O246" i="23" s="1"/>
  <c r="P246" i="23" s="1"/>
  <c r="L262" i="23"/>
  <c r="M262" i="23" s="1"/>
  <c r="O262" i="23" s="1"/>
  <c r="P262" i="23" s="1"/>
  <c r="L198" i="23"/>
  <c r="M198" i="23" s="1"/>
  <c r="O198" i="23" s="1"/>
  <c r="P198" i="23" s="1"/>
  <c r="L128" i="23"/>
  <c r="M128" i="23"/>
  <c r="O128" i="23" s="1"/>
  <c r="P128" i="23" s="1"/>
  <c r="L192" i="23"/>
  <c r="M192" i="23" s="1"/>
  <c r="O192" i="23" s="1"/>
  <c r="P192" i="23" s="1"/>
  <c r="L170" i="23"/>
  <c r="M170" i="23"/>
  <c r="O170" i="23" s="1"/>
  <c r="P170" i="23" s="1"/>
  <c r="L202" i="23"/>
  <c r="M202" i="23" s="1"/>
  <c r="O202" i="23" s="1"/>
  <c r="P202" i="23" s="1"/>
  <c r="L99" i="23"/>
  <c r="M99" i="23"/>
  <c r="O99" i="23" s="1"/>
  <c r="P99" i="23" s="1"/>
  <c r="L240" i="23"/>
  <c r="M240" i="23" s="1"/>
  <c r="O240" i="23" s="1"/>
  <c r="P240" i="23" s="1"/>
  <c r="L543" i="23"/>
  <c r="M543" i="23" s="1"/>
  <c r="O543" i="23" s="1"/>
  <c r="P543" i="23" s="1"/>
  <c r="L397" i="23"/>
  <c r="M397" i="23" s="1"/>
  <c r="O397" i="23" s="1"/>
  <c r="P397" i="23" s="1"/>
  <c r="L534" i="23"/>
  <c r="M534" i="23" s="1"/>
  <c r="O534" i="23" s="1"/>
  <c r="P534" i="23" s="1"/>
  <c r="L515" i="23"/>
  <c r="M515" i="23" s="1"/>
  <c r="O515" i="23" s="1"/>
  <c r="P515" i="23" s="1"/>
  <c r="L496" i="23"/>
  <c r="M496" i="23" s="1"/>
  <c r="O496" i="23" s="1"/>
  <c r="P496" i="23" s="1"/>
  <c r="L464" i="23"/>
  <c r="M464" i="23" s="1"/>
  <c r="O464" i="23" s="1"/>
  <c r="P464" i="23" s="1"/>
  <c r="L457" i="23"/>
  <c r="M457" i="23"/>
  <c r="O457" i="23" s="1"/>
  <c r="P457" i="23" s="1"/>
  <c r="L335" i="23"/>
  <c r="M335" i="23" s="1"/>
  <c r="O335" i="23" s="1"/>
  <c r="P335" i="23" s="1"/>
  <c r="L392" i="23"/>
  <c r="M392" i="23"/>
  <c r="O392" i="23" s="1"/>
  <c r="P392" i="23" s="1"/>
  <c r="L325" i="23"/>
  <c r="M325" i="23" s="1"/>
  <c r="O325" i="23" s="1"/>
  <c r="P325" i="23" s="1"/>
  <c r="L535" i="23"/>
  <c r="M535" i="23"/>
  <c r="O535" i="23" s="1"/>
  <c r="P535" i="23" s="1"/>
  <c r="L516" i="23"/>
  <c r="M516" i="23" s="1"/>
  <c r="O516" i="23" s="1"/>
  <c r="P516" i="23" s="1"/>
  <c r="L497" i="23"/>
  <c r="M497" i="23" s="1"/>
  <c r="O497" i="23" s="1"/>
  <c r="P497" i="23" s="1"/>
  <c r="L415" i="23"/>
  <c r="M415" i="23" s="1"/>
  <c r="O415" i="23" s="1"/>
  <c r="P415" i="23" s="1"/>
  <c r="L476" i="23"/>
  <c r="M476" i="23" s="1"/>
  <c r="O476" i="23" s="1"/>
  <c r="P476" i="23" s="1"/>
  <c r="L418" i="23"/>
  <c r="M418" i="23" s="1"/>
  <c r="O418" i="23" s="1"/>
  <c r="P418" i="23" s="1"/>
  <c r="L281" i="23"/>
  <c r="M281" i="23" s="1"/>
  <c r="O281" i="23" s="1"/>
  <c r="P281" i="23" s="1"/>
  <c r="L250" i="23"/>
  <c r="M250" i="23" s="1"/>
  <c r="O250" i="23" s="1"/>
  <c r="P250" i="23" s="1"/>
  <c r="L236" i="23"/>
  <c r="M236" i="23" s="1"/>
  <c r="O236" i="23" s="1"/>
  <c r="P236" i="23" s="1"/>
  <c r="L206" i="23"/>
  <c r="M206" i="23" s="1"/>
  <c r="O206" i="23" s="1"/>
  <c r="P206" i="23" s="1"/>
  <c r="L171" i="23"/>
  <c r="M171" i="23"/>
  <c r="O171" i="23" s="1"/>
  <c r="P171" i="23" s="1"/>
  <c r="L137" i="23"/>
  <c r="M137" i="23" s="1"/>
  <c r="O137" i="23" s="1"/>
  <c r="P137" i="23" s="1"/>
  <c r="L95" i="23"/>
  <c r="M95" i="23"/>
  <c r="O95" i="23" s="1"/>
  <c r="P95" i="23" s="1"/>
  <c r="L77" i="23"/>
  <c r="M77" i="23" s="1"/>
  <c r="O77" i="23" s="1"/>
  <c r="P77" i="23" s="1"/>
  <c r="L55" i="23"/>
  <c r="M55" i="23"/>
  <c r="O55" i="23" s="1"/>
  <c r="P55" i="23" s="1"/>
  <c r="L26" i="23"/>
  <c r="M26" i="23" s="1"/>
  <c r="O26" i="23" s="1"/>
  <c r="P26" i="23" s="1"/>
  <c r="L18" i="23"/>
  <c r="M18" i="23" s="1"/>
  <c r="O18" i="23" s="1"/>
  <c r="P18" i="23" s="1"/>
  <c r="D21" i="16" l="1"/>
  <c r="J33" i="16" l="1"/>
  <c r="I33" i="16"/>
  <c r="C22" i="19" l="1"/>
  <c r="D15" i="16" l="1"/>
  <c r="D20" i="16"/>
  <c r="D24" i="16"/>
  <c r="D30" i="16"/>
  <c r="D38" i="16"/>
  <c r="D39" i="16"/>
  <c r="D43" i="16"/>
  <c r="I39" i="16"/>
  <c r="I30" i="16"/>
  <c r="I27" i="16"/>
  <c r="I20" i="16"/>
  <c r="I21" i="16"/>
  <c r="I15" i="16" l="1"/>
  <c r="J21" i="16" l="1"/>
  <c r="J30" i="16" l="1"/>
  <c r="J29" i="16"/>
  <c r="J27" i="16"/>
  <c r="J26" i="16"/>
  <c r="J20" i="16"/>
  <c r="J18" i="16"/>
  <c r="J17" i="16"/>
  <c r="J15" i="16"/>
  <c r="J14" i="16"/>
  <c r="J43" i="16"/>
  <c r="J42" i="16"/>
  <c r="J41" i="16"/>
  <c r="J39" i="16"/>
  <c r="J37" i="16"/>
  <c r="J36" i="16"/>
  <c r="J34" i="16"/>
  <c r="J47" i="16"/>
  <c r="J46" i="16"/>
  <c r="E47" i="16"/>
  <c r="E46" i="16"/>
  <c r="E44" i="16"/>
  <c r="E43" i="16"/>
  <c r="E39" i="16"/>
  <c r="E38" i="16"/>
  <c r="E36" i="16"/>
  <c r="E35" i="16"/>
  <c r="E33" i="16"/>
  <c r="E32" i="16"/>
  <c r="E30" i="16"/>
  <c r="E29" i="16"/>
  <c r="E27" i="16"/>
  <c r="E26" i="16"/>
  <c r="E24" i="16"/>
  <c r="E23" i="16"/>
  <c r="E21" i="16"/>
  <c r="E20" i="16"/>
  <c r="E18" i="16"/>
  <c r="E17" i="16"/>
  <c r="E15" i="16"/>
  <c r="E14" i="16"/>
  <c r="I29" i="16" l="1"/>
  <c r="I26" i="16"/>
  <c r="I18" i="16"/>
  <c r="I17" i="16"/>
  <c r="I14" i="16"/>
  <c r="I34" i="16"/>
  <c r="I36" i="16"/>
  <c r="I37" i="16"/>
  <c r="I43" i="16"/>
  <c r="I42" i="16"/>
  <c r="I41" i="16"/>
  <c r="I47" i="16"/>
  <c r="I46" i="16"/>
  <c r="D47" i="16"/>
  <c r="D46" i="16"/>
  <c r="D44" i="16"/>
  <c r="D36" i="16"/>
  <c r="D35" i="16"/>
  <c r="D33" i="16"/>
  <c r="D32" i="16"/>
  <c r="D29" i="16"/>
  <c r="D27" i="16"/>
  <c r="D26" i="16"/>
  <c r="D23" i="16"/>
  <c r="D18" i="16"/>
  <c r="D17" i="16"/>
  <c r="D14" i="16"/>
</calcChain>
</file>

<file path=xl/sharedStrings.xml><?xml version="1.0" encoding="utf-8"?>
<sst xmlns="http://schemas.openxmlformats.org/spreadsheetml/2006/main" count="8191" uniqueCount="3468">
  <si>
    <t>`</t>
  </si>
  <si>
    <t>SALES</t>
  </si>
  <si>
    <t>MP</t>
  </si>
  <si>
    <t>ACE AC1/6/10/17/18</t>
  </si>
  <si>
    <t>ACE AC13/15/20</t>
  </si>
  <si>
    <t>APEX AB2/6/10/17/18</t>
  </si>
  <si>
    <t>APEX AB13/15/20</t>
  </si>
  <si>
    <t>APEX ULTIMA HQ2/6/16/17</t>
  </si>
  <si>
    <t>APEX ULTIMA HQ10</t>
  </si>
  <si>
    <t>ULTIMA BASECOAT</t>
  </si>
  <si>
    <t>ULTIMA PROTEK UP1/16/17</t>
  </si>
  <si>
    <t>ULTIMA PROTEK UP1</t>
  </si>
  <si>
    <t>ULTIMA PROTEK UP10</t>
  </si>
  <si>
    <t>ULTIMA PROTEK UP20/13</t>
  </si>
  <si>
    <t>ULTIMA PROTEK PS1</t>
  </si>
  <si>
    <t>ULTIMA PROTEK PS10</t>
  </si>
  <si>
    <t>ULTIMA PROTEK PS13/20</t>
  </si>
  <si>
    <t>ULTIMA CLEAR</t>
  </si>
  <si>
    <t>DAMP DEFENSE DD01</t>
  </si>
  <si>
    <t>DAMP DEFENSE DD10</t>
  </si>
  <si>
    <t>DAMP DEFENSE DD20</t>
  </si>
  <si>
    <t>TRACTOR TE1/6</t>
  </si>
  <si>
    <t>TRACTOR TE13/15</t>
  </si>
  <si>
    <t>TRACTOR TE22</t>
  </si>
  <si>
    <t>TRACTOR EMULSION ADVANCED TA1/6</t>
  </si>
  <si>
    <t>TRACTOR EMULSION ADVANCED TA 13</t>
  </si>
  <si>
    <t>TRACTOR EMULSION ADVANCED TA 20</t>
  </si>
  <si>
    <t>PREMIUM BW1/6</t>
  </si>
  <si>
    <t>PREMIUM BW10</t>
  </si>
  <si>
    <t>PREMIUM BW13/15</t>
  </si>
  <si>
    <t>PREMIUM BW20</t>
  </si>
  <si>
    <t>ROYAL RB1/6</t>
  </si>
  <si>
    <t>ROYAL RB20</t>
  </si>
  <si>
    <t>Shyne SN2/7</t>
  </si>
  <si>
    <t>Shyne SN11/13</t>
  </si>
  <si>
    <t>ShyneSN15/22</t>
  </si>
  <si>
    <t>Shyne SN15/22</t>
  </si>
  <si>
    <t>ASPIRA AR2</t>
  </si>
  <si>
    <t>Aspira AR2</t>
  </si>
  <si>
    <t>Aspira AR11/13/15</t>
  </si>
  <si>
    <t>Aspira AR22</t>
  </si>
  <si>
    <t>ROYAL HEALTH SHILED HS2</t>
  </si>
  <si>
    <t>ROYAL HEALTH SHILED HS11</t>
  </si>
  <si>
    <t>ROYAL HEALTH SHILED HS22</t>
  </si>
  <si>
    <t>ROYAL BLING BL1</t>
  </si>
  <si>
    <t>ROYAL BLING BL10</t>
  </si>
  <si>
    <t>ROYAL BLING BL13</t>
  </si>
  <si>
    <t>TRACTOR AD1/6</t>
  </si>
  <si>
    <t>TRACTOR AD10</t>
  </si>
  <si>
    <t>.</t>
  </si>
  <si>
    <t>UTSAV UD1      TRACTOR UNO</t>
  </si>
  <si>
    <t>EXTERIOR PRIMER</t>
  </si>
  <si>
    <t>DCP PRIMER(M)</t>
  </si>
  <si>
    <t>DCP PRIMER(LUXURY)</t>
  </si>
  <si>
    <t xml:space="preserve">TRACTOR UNO WT PRIMER </t>
  </si>
  <si>
    <t>TRACTOR UNO WT PRIMER</t>
  </si>
  <si>
    <t>ASIAN WOOD PRIMER       W/P</t>
  </si>
  <si>
    <t>ASIAN METAL PRIMER        M/P</t>
  </si>
  <si>
    <t>TRACTOR METAL PRIMER   (TMPRO)</t>
  </si>
  <si>
    <t xml:space="preserve">  PGE GOLD</t>
  </si>
  <si>
    <t>PGE BLAZZING WHITE</t>
  </si>
  <si>
    <t>PGE GRI</t>
  </si>
  <si>
    <t>PGE GRII</t>
  </si>
  <si>
    <t>PGE EB1</t>
  </si>
  <si>
    <t xml:space="preserve"> </t>
  </si>
  <si>
    <t>PGE EB6</t>
  </si>
  <si>
    <t>PGE EB10</t>
  </si>
  <si>
    <t>PGE EB15</t>
  </si>
  <si>
    <t>PGE EB16</t>
  </si>
  <si>
    <t>PGE EB20</t>
  </si>
  <si>
    <t xml:space="preserve">     </t>
  </si>
  <si>
    <t>TRACTOR ENAMEL WHITE</t>
  </si>
  <si>
    <t>TRACTOR ENAMEL OTHER SHADES</t>
  </si>
  <si>
    <t>Satin Enamel SE2</t>
  </si>
  <si>
    <t>Satin Enamel SE6</t>
  </si>
  <si>
    <t>Satin Enamel SE10</t>
  </si>
  <si>
    <t>Satin Enamel SE20</t>
  </si>
  <si>
    <t>SATIN ALL SHADES</t>
  </si>
  <si>
    <t>WALL PUTTY INTERIOR</t>
  </si>
  <si>
    <t>ACRYLIC PUTTY</t>
  </si>
  <si>
    <t>Damp Proof SPARK</t>
  </si>
  <si>
    <t>Damp Proof</t>
  </si>
  <si>
    <t>Damp Proof ULTRA</t>
  </si>
  <si>
    <t>Damp Block 2k</t>
  </si>
  <si>
    <t>Bio Block</t>
  </si>
  <si>
    <t xml:space="preserve">VITALIA </t>
  </si>
  <si>
    <t>VITALIA NEO</t>
  </si>
  <si>
    <t>33OO</t>
  </si>
  <si>
    <t>REPAIRE POLYMER</t>
  </si>
  <si>
    <t>Clear Varnish</t>
  </si>
  <si>
    <t>TOUCH WOOD</t>
  </si>
  <si>
    <t>3 MANGO ALUMINIUM</t>
  </si>
  <si>
    <t>Melamine Glossy/Spray/Brush</t>
  </si>
  <si>
    <t>Melamine Matt/Spray/Brush</t>
  </si>
  <si>
    <t>Melamine Sealer</t>
  </si>
  <si>
    <t>ROYAL  PLAY PG5</t>
  </si>
  <si>
    <t>ROYAL  PLAY METALIC  GOLD</t>
  </si>
  <si>
    <t>ROYAL  PLAY METALIC  COPPER</t>
  </si>
  <si>
    <t>ROYAL  PLAY METALIC  SILVER</t>
  </si>
  <si>
    <t>ULTIMA METALIC GOLD</t>
  </si>
  <si>
    <t>ULTIMA METALIC SILVER</t>
  </si>
  <si>
    <t>ROYAL GLITTER GOLD 1LIT</t>
  </si>
  <si>
    <t>ROYAL GLITTER GOLD 200ML</t>
  </si>
  <si>
    <t>ROYAL GLITTER SILVER 1LIT</t>
  </si>
  <si>
    <t>ROYAL GLITTER SILVER 200ML</t>
  </si>
  <si>
    <t>RAGGING ROLLER WITH HANDEL</t>
  </si>
  <si>
    <t>NATURAL SEA SPONGE</t>
  </si>
  <si>
    <t>SPECIAL EFFECT BURSH</t>
  </si>
  <si>
    <t>SPATULA</t>
  </si>
  <si>
    <t>COMB</t>
  </si>
  <si>
    <t>COLOUR WASH SPONGE</t>
  </si>
  <si>
    <t>APPLICATION ROLLER 9"</t>
  </si>
  <si>
    <t>NORMAL APPLICATION ROLLER</t>
  </si>
  <si>
    <t>PAITING ROLLER TRAY</t>
  </si>
  <si>
    <t>d</t>
  </si>
  <si>
    <t>BUTTER PAPER</t>
  </si>
  <si>
    <t>CRINKLE PAPER</t>
  </si>
  <si>
    <t>BRICK STENCIL KIT</t>
  </si>
  <si>
    <t>WINDOW STENCIL KIT</t>
  </si>
  <si>
    <t>BUTERFLY STENCIL KIT</t>
  </si>
  <si>
    <t>RAGA STENCIL KIT</t>
  </si>
  <si>
    <t>CIRCLE STENCIL KIT</t>
  </si>
  <si>
    <t>FRAMES STENCIL KIT</t>
  </si>
  <si>
    <t>DIA STENCIL KIT</t>
  </si>
  <si>
    <t xml:space="preserve"> FERN STENCIL KIT</t>
  </si>
  <si>
    <t>ZARI STENCIL KIT</t>
  </si>
  <si>
    <t>MOON STENCIL KIT</t>
  </si>
  <si>
    <t>SHADOW STENCIL KIT</t>
  </si>
  <si>
    <t>LIPI STENCIL KIT</t>
  </si>
  <si>
    <t>MUDRA STENCIL KIT</t>
  </si>
  <si>
    <t>ROSE STENCIL KIT</t>
  </si>
  <si>
    <t>SERENITY WALL FASHION</t>
  </si>
  <si>
    <t>GYPSY BEADS WALL FASHION</t>
  </si>
  <si>
    <t>FRENCH REVERIYA WALL FESHION</t>
  </si>
  <si>
    <t>MORNING RAGR WALL FESHION</t>
  </si>
  <si>
    <t>FLOWER POWER WALL FESHION</t>
  </si>
  <si>
    <t>SAFARI WALL FASHION</t>
  </si>
  <si>
    <t>SPRING WALL FESHION</t>
  </si>
  <si>
    <t>SUMMER BLOOM WALL FESHION</t>
  </si>
  <si>
    <t>SUN SPRAY WALL FASHION</t>
  </si>
  <si>
    <t>STAR DUST WALL FASHION</t>
  </si>
  <si>
    <t>SPRING STENCIL KIT</t>
  </si>
  <si>
    <t>WOOD STAIN</t>
  </si>
  <si>
    <t>TILE GUARD</t>
  </si>
  <si>
    <t>AMC FAST BLUE</t>
  </si>
  <si>
    <t>AMC FAST GREEN</t>
  </si>
  <si>
    <t>AMC EXT RED</t>
  </si>
  <si>
    <t>AMC FAST BLACK</t>
  </si>
  <si>
    <t>AMC FAST YELLOW</t>
  </si>
  <si>
    <t>AMC HT BLUE</t>
  </si>
  <si>
    <t>AMC HT GREEN</t>
  </si>
  <si>
    <t>AMC HT REDOXIDE</t>
  </si>
  <si>
    <t>AMC HT VIOLET</t>
  </si>
  <si>
    <t>AMC HT WHITE</t>
  </si>
  <si>
    <t>AMC HT YELLOW</t>
  </si>
  <si>
    <t>AMC INTERIOR RED</t>
  </si>
  <si>
    <t>AMC MAGENTA</t>
  </si>
  <si>
    <t>AMC YELLOW OXIDE</t>
  </si>
  <si>
    <t>AMC ORANGE</t>
  </si>
  <si>
    <t>Damp sheath</t>
  </si>
  <si>
    <t>HYDROLOC</t>
  </si>
  <si>
    <t>SILICON SHIELD</t>
  </si>
  <si>
    <t>NAME</t>
  </si>
  <si>
    <t>SIZE</t>
  </si>
  <si>
    <t>sales</t>
  </si>
  <si>
    <t>Full Rate</t>
  </si>
  <si>
    <t>Name</t>
  </si>
  <si>
    <t>Interior</t>
  </si>
  <si>
    <t>Exterior</t>
  </si>
  <si>
    <t>UNO Distemper</t>
  </si>
  <si>
    <t>ACE</t>
  </si>
  <si>
    <t xml:space="preserve">ACE </t>
  </si>
  <si>
    <t>TRACTOR Distemper</t>
  </si>
  <si>
    <t xml:space="preserve">APEX </t>
  </si>
  <si>
    <t>TRACTOR Emulsion</t>
  </si>
  <si>
    <t>APEX ULTIMA 7Yrs</t>
  </si>
  <si>
    <t>PREMIUM Emulsion</t>
  </si>
  <si>
    <t>ROYAL Emulsion</t>
  </si>
  <si>
    <t>ULTIMA PROTEK SHYNE 10Yrs</t>
  </si>
  <si>
    <t>ROYAL Shyne Emulsion</t>
  </si>
  <si>
    <t>DAMP DEFENSE (Weather Coat)6Yrs</t>
  </si>
  <si>
    <t>Primer</t>
  </si>
  <si>
    <t>DCP PRIMER(M) INT.</t>
  </si>
  <si>
    <t>ROYAL BILING 10 yrs</t>
  </si>
  <si>
    <t xml:space="preserve">ROYAL HEALTH SHILED </t>
  </si>
  <si>
    <t>WALL PUTTY</t>
  </si>
  <si>
    <t>Enamel</t>
  </si>
  <si>
    <t>Damp Proof SPARK  3Yrs</t>
  </si>
  <si>
    <t>Damp Proof ULTRA  10Yrs</t>
  </si>
  <si>
    <t>( +  COLOUR CHARGE  )</t>
  </si>
  <si>
    <t>Size</t>
  </si>
  <si>
    <t>25mm</t>
  </si>
  <si>
    <t>PAINT BRUSH</t>
  </si>
  <si>
    <t>50mm</t>
  </si>
  <si>
    <t>75mm</t>
  </si>
  <si>
    <t>100mm</t>
  </si>
  <si>
    <t>fevicol</t>
  </si>
  <si>
    <t>1kg</t>
  </si>
  <si>
    <t>0.5kg</t>
  </si>
  <si>
    <t>Pack thinner</t>
  </si>
  <si>
    <t>wheel khaksi GRINDER</t>
  </si>
  <si>
    <t>water khaksi</t>
  </si>
  <si>
    <t>paper khaksi</t>
  </si>
  <si>
    <t>meter khaksi</t>
  </si>
  <si>
    <t>wheel khaksi</t>
  </si>
  <si>
    <t>Chalk powder</t>
  </si>
  <si>
    <t xml:space="preserve">1kg </t>
  </si>
  <si>
    <t>Brown</t>
  </si>
  <si>
    <t>1pkt 250gm</t>
  </si>
  <si>
    <t>Ramtilak</t>
  </si>
  <si>
    <t xml:space="preserve">orange </t>
  </si>
  <si>
    <t>1pkt</t>
  </si>
  <si>
    <t>800gm  70</t>
  </si>
  <si>
    <t>Geru</t>
  </si>
  <si>
    <t>1pkt 400gm</t>
  </si>
  <si>
    <t>Kapada</t>
  </si>
  <si>
    <t>1m</t>
  </si>
  <si>
    <t>Tarpin</t>
  </si>
  <si>
    <t>700ml</t>
  </si>
  <si>
    <t>sprit</t>
  </si>
  <si>
    <t>5lt</t>
  </si>
  <si>
    <t>1lt</t>
  </si>
  <si>
    <t>white cement</t>
  </si>
  <si>
    <t>Tar Brush</t>
  </si>
  <si>
    <t>1pcs</t>
  </si>
  <si>
    <t>PUTTING BLADE</t>
  </si>
  <si>
    <t>NC thinner (B)</t>
  </si>
  <si>
    <t>masking tape 1"</t>
  </si>
  <si>
    <t xml:space="preserve"> PU GLOSSY SIRICA</t>
  </si>
  <si>
    <t xml:space="preserve"> PU MATT SIRICA</t>
  </si>
  <si>
    <t>PU wood quote</t>
  </si>
  <si>
    <t>DUCO THINNER</t>
  </si>
  <si>
    <t>DUCO SEALER</t>
  </si>
  <si>
    <t>DUCO LAQUER</t>
  </si>
  <si>
    <t>wall putty</t>
  </si>
  <si>
    <t>1bag</t>
  </si>
  <si>
    <t>chapra readymade</t>
  </si>
  <si>
    <t>1 LTR</t>
  </si>
  <si>
    <t>0.5lt</t>
  </si>
  <si>
    <t>chapra</t>
  </si>
  <si>
    <t>NC Metal putty</t>
  </si>
  <si>
    <t>200gm</t>
  </si>
  <si>
    <t xml:space="preserve">1lt </t>
  </si>
  <si>
    <t xml:space="preserve">venezia gold </t>
  </si>
  <si>
    <t>100ml</t>
  </si>
  <si>
    <t>200ml</t>
  </si>
  <si>
    <t>500ml</t>
  </si>
  <si>
    <t>PERISH</t>
  </si>
  <si>
    <t>pge gold 01</t>
  </si>
  <si>
    <t>pge gold 0.5</t>
  </si>
  <si>
    <t xml:space="preserve">PGE Gold </t>
  </si>
  <si>
    <t>marble cutter</t>
  </si>
  <si>
    <t>RED OXIDE</t>
  </si>
  <si>
    <t>pen brush</t>
  </si>
  <si>
    <t>Black japan</t>
  </si>
  <si>
    <t>500gm</t>
  </si>
  <si>
    <t>sirca melamine glossy</t>
  </si>
  <si>
    <t>sirca melamine matt</t>
  </si>
  <si>
    <t>sirca melamine sealer</t>
  </si>
  <si>
    <t>paint remover</t>
  </si>
  <si>
    <t>pu thinner</t>
  </si>
  <si>
    <t>sheenlac wood polish wallnut</t>
  </si>
  <si>
    <t>sirica wood stand</t>
  </si>
  <si>
    <t>wall nut</t>
  </si>
  <si>
    <t>Indigo copper</t>
  </si>
  <si>
    <t>50ml</t>
  </si>
  <si>
    <t>Indigo gold</t>
  </si>
  <si>
    <t xml:space="preserve">HATO GOLD </t>
  </si>
  <si>
    <t>300ML</t>
  </si>
  <si>
    <t xml:space="preserve">BEGER SILICON </t>
  </si>
  <si>
    <t>WOOD FILLER WALLNUT</t>
  </si>
  <si>
    <t>steel jhus</t>
  </si>
  <si>
    <t>GLOBES COTON WHITE</t>
  </si>
  <si>
    <t>GLOBES COTON COLOUR</t>
  </si>
  <si>
    <t>GLOBES RABER</t>
  </si>
  <si>
    <t>DORI</t>
  </si>
  <si>
    <t>DR. FIXT FEVIMATE</t>
  </si>
  <si>
    <t>500GM</t>
  </si>
  <si>
    <t>DR. FIXT CRACK-X PASTE</t>
  </si>
  <si>
    <t>shangrila black japan</t>
  </si>
  <si>
    <t>shangrila black board</t>
  </si>
  <si>
    <t>sirica wood filler teak</t>
  </si>
  <si>
    <t>sirica wood filler wallnut</t>
  </si>
  <si>
    <t>sirica wood filler white</t>
  </si>
  <si>
    <t>150ml</t>
  </si>
  <si>
    <t>pu sealer sunlac</t>
  </si>
  <si>
    <t>CUP BURSH</t>
  </si>
  <si>
    <t>fiber glass tape/jali tape</t>
  </si>
  <si>
    <t>Asian Crack Seal</t>
  </si>
  <si>
    <t>bodhi gold</t>
  </si>
  <si>
    <t>Black Board paint</t>
  </si>
  <si>
    <t>Dr. Fix Super Letex</t>
  </si>
  <si>
    <t>NC laquer</t>
  </si>
  <si>
    <t>hato silicon</t>
  </si>
  <si>
    <t>4lt</t>
  </si>
  <si>
    <t xml:space="preserve">WUDFIN </t>
  </si>
  <si>
    <t>1LTR</t>
  </si>
  <si>
    <t>500ML</t>
  </si>
  <si>
    <t>200ML</t>
  </si>
  <si>
    <t>MARBAL CUTTER</t>
  </si>
  <si>
    <t>M/1767</t>
  </si>
  <si>
    <t xml:space="preserve">EARTH CONSTRUCTION </t>
  </si>
  <si>
    <t>M/1923</t>
  </si>
  <si>
    <t>M/1925</t>
  </si>
  <si>
    <t>M/1936</t>
  </si>
  <si>
    <t>EARTH CONSTRUCTION</t>
  </si>
  <si>
    <t>M/1943</t>
  </si>
  <si>
    <t>M/1980</t>
  </si>
  <si>
    <t>M/1995</t>
  </si>
  <si>
    <t>Valley Paints</t>
  </si>
  <si>
    <t>078-7-16</t>
  </si>
  <si>
    <t>078-10-21</t>
  </si>
  <si>
    <t>078-10-25</t>
  </si>
  <si>
    <t>078-12-25</t>
  </si>
  <si>
    <t>078-12-27</t>
  </si>
  <si>
    <t>078-12-28</t>
  </si>
  <si>
    <t>078-12-30</t>
  </si>
  <si>
    <t>079-1-2</t>
  </si>
  <si>
    <t>079-1-3</t>
  </si>
  <si>
    <t>079-1-4</t>
  </si>
  <si>
    <t>079-1-5</t>
  </si>
  <si>
    <t>079-1-6</t>
  </si>
  <si>
    <t>079-1-8</t>
  </si>
  <si>
    <t>079-1-12</t>
  </si>
  <si>
    <t>079-1-14</t>
  </si>
  <si>
    <t>079-2-5</t>
  </si>
  <si>
    <t>cash</t>
  </si>
  <si>
    <t>ARMY SCHOOL</t>
  </si>
  <si>
    <t>PARLIAMENT</t>
  </si>
  <si>
    <t xml:space="preserve">AD1 20KG  </t>
  </si>
  <si>
    <t>TE1 20L</t>
  </si>
  <si>
    <t>EXT PRIMER 20</t>
  </si>
  <si>
    <t>DCP 20</t>
  </si>
  <si>
    <t>AMPRO 20L</t>
  </si>
  <si>
    <t>PGE LEAF BROWN 4L</t>
  </si>
  <si>
    <t>PGE BLACK 4L</t>
  </si>
  <si>
    <t>AC1 20L</t>
  </si>
  <si>
    <t>PGE BLAZ WHITE</t>
  </si>
  <si>
    <t>PGE WHITE 4L</t>
  </si>
  <si>
    <t>SHOP</t>
  </si>
  <si>
    <t>GODOWN</t>
  </si>
  <si>
    <t>ACE AC1</t>
  </si>
  <si>
    <t>ACE AC6</t>
  </si>
  <si>
    <t>ACE AC10</t>
  </si>
  <si>
    <t>ACE AC17</t>
  </si>
  <si>
    <t>ACE AC18</t>
  </si>
  <si>
    <t>ACE AC13</t>
  </si>
  <si>
    <t>ACE AC15</t>
  </si>
  <si>
    <t>ACE AC20</t>
  </si>
  <si>
    <t>APEX AB2</t>
  </si>
  <si>
    <t>APEX AB6</t>
  </si>
  <si>
    <t>APEX AB10</t>
  </si>
  <si>
    <t>APEX AB17</t>
  </si>
  <si>
    <t>APEX AB18</t>
  </si>
  <si>
    <t>APEX AB13</t>
  </si>
  <si>
    <t>APEX AB15</t>
  </si>
  <si>
    <t>APEX AB20</t>
  </si>
  <si>
    <t>APEX ULTIMA HQ2</t>
  </si>
  <si>
    <t>APEX ULTIMA HQ6</t>
  </si>
  <si>
    <t>APEX ULTIMA HQ16</t>
  </si>
  <si>
    <t>APEX ULTIMA HQ17</t>
  </si>
  <si>
    <t>APEX ULTIMA HQ13</t>
  </si>
  <si>
    <t>APEX ULTIMA HQ20</t>
  </si>
  <si>
    <t>GODWON</t>
  </si>
  <si>
    <t>ULTIMA PROTEK UP13</t>
  </si>
  <si>
    <t>ULTIMA PROTEK UP20</t>
  </si>
  <si>
    <t>TRACTOR TE1</t>
  </si>
  <si>
    <t>TRACTOR TE6</t>
  </si>
  <si>
    <t>TRACTOR TE13</t>
  </si>
  <si>
    <t>TRACTOR TE15</t>
  </si>
  <si>
    <t>TRACTOR TE20</t>
  </si>
  <si>
    <t>PREMIUM BW1</t>
  </si>
  <si>
    <t>PREMIUM BW6</t>
  </si>
  <si>
    <t>PREMIUM BW13</t>
  </si>
  <si>
    <t>PREMIUM BW15</t>
  </si>
  <si>
    <t>PREMIUM BW22</t>
  </si>
  <si>
    <t>ROYAL RB1</t>
  </si>
  <si>
    <t>ROYAL RB6</t>
  </si>
  <si>
    <t>ROYAL RB10</t>
  </si>
  <si>
    <t>ROYAL YTB</t>
  </si>
  <si>
    <t>ROYAL RTB</t>
  </si>
  <si>
    <t>ROYAL RB22</t>
  </si>
  <si>
    <t>Shyne SN2</t>
  </si>
  <si>
    <t>Shyne SN7</t>
  </si>
  <si>
    <t>Shyne SN11</t>
  </si>
  <si>
    <t>Shyne SN13</t>
  </si>
  <si>
    <t>Shyne SN15</t>
  </si>
  <si>
    <t>Shyne SN22</t>
  </si>
  <si>
    <t>Aspira AR11</t>
  </si>
  <si>
    <t>Aspira AR13</t>
  </si>
  <si>
    <t>Aspira AR15</t>
  </si>
  <si>
    <t>TRACTOR AD1</t>
  </si>
  <si>
    <t>TRACTOR AD6</t>
  </si>
  <si>
    <t>shop</t>
  </si>
  <si>
    <t>godown</t>
  </si>
  <si>
    <t>PGE BLACK</t>
  </si>
  <si>
    <t>PGE LEAF BROWN</t>
  </si>
  <si>
    <t>PGE BROWN</t>
  </si>
  <si>
    <t>PGE GOL BROWN</t>
  </si>
  <si>
    <t>PGE PHIROZI</t>
  </si>
  <si>
    <t>PGE OX  BLUE</t>
  </si>
  <si>
    <t>PGE SMOKE GREY</t>
  </si>
  <si>
    <t>PGE BUSGREEN</t>
  </si>
  <si>
    <t>PGE SINGNAL RED</t>
  </si>
  <si>
    <t>PEG P.O RED</t>
  </si>
  <si>
    <t>PGE GOL YELLOW</t>
  </si>
  <si>
    <t>PGE DEEP ORANGE</t>
  </si>
  <si>
    <t>PGE CHOCOLATE</t>
  </si>
  <si>
    <t>Satin Enamel Brown</t>
  </si>
  <si>
    <t>Satin Enamel Leaf Brown</t>
  </si>
  <si>
    <t>Satin Enamel Black</t>
  </si>
  <si>
    <t>SILICON SHIELD SHYNE</t>
  </si>
  <si>
    <t>TRACTOR  ADVANCED TA1</t>
  </si>
  <si>
    <t>TRACTOR  ADVANCED TA6</t>
  </si>
  <si>
    <t>TRACTOR  ADVANCED TA13</t>
  </si>
  <si>
    <t>TRACTOR  ADVANCED TA20</t>
  </si>
  <si>
    <t>item</t>
  </si>
  <si>
    <t>QNT</t>
  </si>
  <si>
    <t>Godown</t>
  </si>
  <si>
    <t>Total</t>
  </si>
  <si>
    <t>paper khakshi(filint paper)</t>
  </si>
  <si>
    <t>Roll Khakshi(aAbrasive cloth Roll)</t>
  </si>
  <si>
    <t>Water Paper</t>
  </si>
  <si>
    <t>Sheelac chapara (base wood polish)</t>
  </si>
  <si>
    <t>Duco thinner</t>
  </si>
  <si>
    <t>Duco sealer</t>
  </si>
  <si>
    <t>Duco Laquer</t>
  </si>
  <si>
    <t>Woow fin</t>
  </si>
  <si>
    <t>Relaince black japan</t>
  </si>
  <si>
    <t>Relaince black board</t>
  </si>
  <si>
    <t>Sirica Melamine Glossy</t>
  </si>
  <si>
    <t>Sirica Melamine matt</t>
  </si>
  <si>
    <t>Sirica pu glossy</t>
  </si>
  <si>
    <t>Sirica pu sealer</t>
  </si>
  <si>
    <t>Sirica Wood Staner</t>
  </si>
  <si>
    <t>Sirica Sealer</t>
  </si>
  <si>
    <t>Sirica Thinner</t>
  </si>
  <si>
    <t>Sunlac Sealer</t>
  </si>
  <si>
    <t>Sunlac silicon</t>
  </si>
  <si>
    <t>20LTR</t>
  </si>
  <si>
    <t>Sunlac Ext PU Glossy</t>
  </si>
  <si>
    <t>Sunlac Ext PU Matt</t>
  </si>
  <si>
    <t>Sunlac Ext PU Sealer</t>
  </si>
  <si>
    <t>Sunlac Interior PU Glossy</t>
  </si>
  <si>
    <t>Sunlac Interior PU Matt</t>
  </si>
  <si>
    <t>Sunlac Interior PU Sealer</t>
  </si>
  <si>
    <t>Sulac thinner</t>
  </si>
  <si>
    <t>Venezia Gold</t>
  </si>
  <si>
    <t>Sunlac pack Thinner (retader)</t>
  </si>
  <si>
    <t>Sunlac wood Stainer</t>
  </si>
  <si>
    <t>NC putty</t>
  </si>
  <si>
    <t>NC Thinner</t>
  </si>
  <si>
    <t>Sunlac PU thinner</t>
  </si>
  <si>
    <t>Bodhi Gold</t>
  </si>
  <si>
    <t>Bodhi siver</t>
  </si>
  <si>
    <t>Bodhi copper</t>
  </si>
  <si>
    <t>Tarpin oil</t>
  </si>
  <si>
    <t>300ml</t>
  </si>
  <si>
    <t>Dr fixt Crack seal</t>
  </si>
  <si>
    <t>1KG</t>
  </si>
  <si>
    <t>Dr fixt fevi mate Ivory</t>
  </si>
  <si>
    <t>Dr fixt fevi mate White</t>
  </si>
  <si>
    <t>Rainbow Tile Mate Ivory</t>
  </si>
  <si>
    <t>Rainbow Tile Mate White</t>
  </si>
  <si>
    <t>Paint Bursh 444  1"</t>
  </si>
  <si>
    <t>1"</t>
  </si>
  <si>
    <t>Paint Bursh 444  2"</t>
  </si>
  <si>
    <t>Paint Bursh 444  3"</t>
  </si>
  <si>
    <t>Paint Bursh 444  4"</t>
  </si>
  <si>
    <t>Paint Bursh 555  1"</t>
  </si>
  <si>
    <t>Paint Bursh 555  2"</t>
  </si>
  <si>
    <t>Paint Bursh 555  3"</t>
  </si>
  <si>
    <t>Paint Bursh 555  4"</t>
  </si>
  <si>
    <t>Wire Bursh</t>
  </si>
  <si>
    <t>Paint  Roller 7"</t>
  </si>
  <si>
    <t>Paint  Roller 4"</t>
  </si>
  <si>
    <t>Paint  Roller 2"</t>
  </si>
  <si>
    <t>Spray paint</t>
  </si>
  <si>
    <t>Masking tap 1"</t>
  </si>
  <si>
    <t>Masking tap 2"</t>
  </si>
  <si>
    <t>Kapada  (cleaning cloth)</t>
  </si>
  <si>
    <t>Hato silicon</t>
  </si>
  <si>
    <t>J K White Cement</t>
  </si>
  <si>
    <t>40 KG</t>
  </si>
  <si>
    <t>5 KG</t>
  </si>
  <si>
    <t>1 KG</t>
  </si>
  <si>
    <t>motolac sanding sraler</t>
  </si>
  <si>
    <t>Sunlith silicon WT</t>
  </si>
  <si>
    <t>miter khakshi</t>
  </si>
  <si>
    <t>perish</t>
  </si>
  <si>
    <t>PRODUCT</t>
  </si>
  <si>
    <t>UNIT</t>
  </si>
  <si>
    <t>BALANCE</t>
  </si>
  <si>
    <t>(DS) OHS 2F W/O ARM (OH110S)</t>
  </si>
  <si>
    <t>1NOS</t>
  </si>
  <si>
    <t>15"RFS ARM ROUND GOLD (RSSA715)</t>
  </si>
  <si>
    <t>15"RFS ARM ROUND NEW (SA105N)</t>
  </si>
  <si>
    <t>15"RFS ARM ROUND NEW (SA106N)</t>
  </si>
  <si>
    <t>18"RFS ARM ROUND NEW (SA107N)</t>
  </si>
  <si>
    <t>2 FUNCTION HS (RSTS103)</t>
  </si>
  <si>
    <t>20.3 CM RFS ROUND W/O ARM (8) (RF205)</t>
  </si>
  <si>
    <t>20.3 CM RFS SQUARE W/O ARM (8) (RF206)</t>
  </si>
  <si>
    <t>3.5" HS SQUARE WITH 1.5MTR FLEX TUBE &amp; (HS205)</t>
  </si>
  <si>
    <t>4" HS, 1F WITH 1.5 MTR FLEX TUBE &amp; HOO (HS202)</t>
  </si>
  <si>
    <t>4" OHS, 1F W/O ARM (OH202)</t>
  </si>
  <si>
    <t>9 INCH SELF CLEAN RF SHOWER (BHRF101)</t>
  </si>
  <si>
    <t>9 INCH SQUARE GOLD CLR SHOWER (RSRF702)</t>
  </si>
  <si>
    <t>AB02 01</t>
  </si>
  <si>
    <t>AB02 04</t>
  </si>
  <si>
    <t>4LTR</t>
  </si>
  <si>
    <t>AB02 10</t>
  </si>
  <si>
    <t>10LTR</t>
  </si>
  <si>
    <t>AB02 20</t>
  </si>
  <si>
    <t>AB06 01</t>
  </si>
  <si>
    <t>AB06 04</t>
  </si>
  <si>
    <t>AB06 10</t>
  </si>
  <si>
    <t>AB06 20</t>
  </si>
  <si>
    <t>AB10 01</t>
  </si>
  <si>
    <t>AB10 04</t>
  </si>
  <si>
    <t>AB10 10</t>
  </si>
  <si>
    <t>AB10 20</t>
  </si>
  <si>
    <t>AB13 01</t>
  </si>
  <si>
    <t>AB13 04</t>
  </si>
  <si>
    <t>AB13 10</t>
  </si>
  <si>
    <t>AB13 20</t>
  </si>
  <si>
    <t>AB15 01</t>
  </si>
  <si>
    <t>AB15 04</t>
  </si>
  <si>
    <t>AB15 10</t>
  </si>
  <si>
    <t>AB15 20</t>
  </si>
  <si>
    <t>AB17 01</t>
  </si>
  <si>
    <t>AB17 04</t>
  </si>
  <si>
    <t>AB17 10</t>
  </si>
  <si>
    <t>AB17 20</t>
  </si>
  <si>
    <t>AB18 01</t>
  </si>
  <si>
    <t>AB18 04</t>
  </si>
  <si>
    <t>AB18 10</t>
  </si>
  <si>
    <t>AB18 20</t>
  </si>
  <si>
    <t>AB20 01</t>
  </si>
  <si>
    <t>AB20 04</t>
  </si>
  <si>
    <t>AB20 10</t>
  </si>
  <si>
    <t>AB20 20</t>
  </si>
  <si>
    <t>ABRASIVE CLOTH / PAPER ROLL (METER KHAKSI)</t>
  </si>
  <si>
    <t>1MTR</t>
  </si>
  <si>
    <t>ABRASIVE CLOTH / PAPER ROLL (METER KHAKSI) PCS</t>
  </si>
  <si>
    <t>1PCS</t>
  </si>
  <si>
    <t>AC01 0.2</t>
  </si>
  <si>
    <t>0.2LT</t>
  </si>
  <si>
    <t>AC01 01</t>
  </si>
  <si>
    <t>1/DAMAGE</t>
  </si>
  <si>
    <t>AC01 04</t>
  </si>
  <si>
    <t>AC01 10</t>
  </si>
  <si>
    <t>AC01 20</t>
  </si>
  <si>
    <t>AC06 0.2</t>
  </si>
  <si>
    <t>AC06 01</t>
  </si>
  <si>
    <t>AC06 04</t>
  </si>
  <si>
    <t>AC06 10</t>
  </si>
  <si>
    <t>AC06 20</t>
  </si>
  <si>
    <t>AC10 0.2</t>
  </si>
  <si>
    <t>AC10 01</t>
  </si>
  <si>
    <t>AC10 04</t>
  </si>
  <si>
    <t>AC10 10</t>
  </si>
  <si>
    <t>AC10 20</t>
  </si>
  <si>
    <t>AC13 0.2</t>
  </si>
  <si>
    <t>AC13 01</t>
  </si>
  <si>
    <t>AC13 04</t>
  </si>
  <si>
    <t>AC13 10</t>
  </si>
  <si>
    <t>AC13 20</t>
  </si>
  <si>
    <t>AC15 0.2</t>
  </si>
  <si>
    <t>AC15 01</t>
  </si>
  <si>
    <t>AC15 04</t>
  </si>
  <si>
    <t>AC15 10</t>
  </si>
  <si>
    <t>AC15 20</t>
  </si>
  <si>
    <t>AC17 0.2</t>
  </si>
  <si>
    <t>AC17 01</t>
  </si>
  <si>
    <t>AC17 04</t>
  </si>
  <si>
    <t>AC17 10</t>
  </si>
  <si>
    <t>AC17 20</t>
  </si>
  <si>
    <t>AC18 0.2</t>
  </si>
  <si>
    <t>AC18 01</t>
  </si>
  <si>
    <t>AC18 04</t>
  </si>
  <si>
    <t>AC18 10</t>
  </si>
  <si>
    <t>AC18 20</t>
  </si>
  <si>
    <t>AC20 0.2</t>
  </si>
  <si>
    <t>AC20 01</t>
  </si>
  <si>
    <t>AC20 04</t>
  </si>
  <si>
    <t>AC20 10</t>
  </si>
  <si>
    <t>AC20 20</t>
  </si>
  <si>
    <t>ACID</t>
  </si>
  <si>
    <t>ACRYLIC PUTTY 05</t>
  </si>
  <si>
    <t>5KG</t>
  </si>
  <si>
    <t>ACRYLIC PUTTY 10</t>
  </si>
  <si>
    <t>10KG</t>
  </si>
  <si>
    <t>ACRYLIC PUTTY 20</t>
  </si>
  <si>
    <t>20KG</t>
  </si>
  <si>
    <t>ALU PAINT 0.2</t>
  </si>
  <si>
    <t>ALU PAINT 0.5</t>
  </si>
  <si>
    <t>0.5LT</t>
  </si>
  <si>
    <t>11/15-23/YES</t>
  </si>
  <si>
    <t>ALU PAINT 01</t>
  </si>
  <si>
    <t>11/15-6/YES</t>
  </si>
  <si>
    <t>ALU PAINT 01 (SUNLAC)</t>
  </si>
  <si>
    <t>YES</t>
  </si>
  <si>
    <t>ALUMINIUM PAINTS 0.5 (BABA)</t>
  </si>
  <si>
    <t>AMC EXT.RED 01</t>
  </si>
  <si>
    <t>AMC FAST BLACK 01</t>
  </si>
  <si>
    <t>AMC FAST BLUE 01</t>
  </si>
  <si>
    <t>AMC FAST GREEN 01</t>
  </si>
  <si>
    <t>AMC FAST YELLOW 01</t>
  </si>
  <si>
    <t>AMC HT BLUE 01</t>
  </si>
  <si>
    <t>AMC HT GREEN 01</t>
  </si>
  <si>
    <t>AMC HT REDOXIDE 01</t>
  </si>
  <si>
    <t>AMC HT VIOLET 01</t>
  </si>
  <si>
    <t>AMC HT WHITE 01</t>
  </si>
  <si>
    <t>AMC HT YELLOW 01</t>
  </si>
  <si>
    <t>AMC INT.RED 01</t>
  </si>
  <si>
    <t>AMC MAGENTA 01</t>
  </si>
  <si>
    <t>AMC TINTER ORANGE 01</t>
  </si>
  <si>
    <t>AMC YELLOW OXIDE 01</t>
  </si>
  <si>
    <t>ANGLE COCK 2-IN-1 WITH WF (P112A)</t>
  </si>
  <si>
    <t>ANGLE COCK SPL LEVER &amp; BIG FLA (NEC04A)</t>
  </si>
  <si>
    <t>ANGLE COCK WITH WF (ALAC101)</t>
  </si>
  <si>
    <t>ANGLE COCK WITH WF (CLAC101)</t>
  </si>
  <si>
    <t>ANGLE COCK WITH WF (INAC101)</t>
  </si>
  <si>
    <t>ANGLE COCK WITH WF (MYAC101)</t>
  </si>
  <si>
    <t>ANGLE COCK WITH WF (P112)</t>
  </si>
  <si>
    <t>ANGLE COCK WITH WF (PP112)</t>
  </si>
  <si>
    <t>ANGLE VALVE (JK)</t>
  </si>
  <si>
    <t>ANGULAR STOP COCK WITH WF (PT04A)</t>
  </si>
  <si>
    <t>APEX TILE CLEAR 01</t>
  </si>
  <si>
    <t>APEX TILE CLEAR 04</t>
  </si>
  <si>
    <t>AR02 01</t>
  </si>
  <si>
    <t>AR02 04</t>
  </si>
  <si>
    <t>AR02 10</t>
  </si>
  <si>
    <t>AR02 20</t>
  </si>
  <si>
    <t>AR11 01</t>
  </si>
  <si>
    <t>AR11 04</t>
  </si>
  <si>
    <t>AR11 10</t>
  </si>
  <si>
    <t>AR11 20</t>
  </si>
  <si>
    <t>AR13 01</t>
  </si>
  <si>
    <t>AR13 04</t>
  </si>
  <si>
    <t>AR13 10</t>
  </si>
  <si>
    <t>AR15 01</t>
  </si>
  <si>
    <t>AR15 04</t>
  </si>
  <si>
    <t>AR22 01</t>
  </si>
  <si>
    <t>AR22 04</t>
  </si>
  <si>
    <t>AR22 10</t>
  </si>
  <si>
    <t>AXE</t>
  </si>
  <si>
    <t>BAMBOO</t>
  </si>
  <si>
    <t>BASE COAT 01</t>
  </si>
  <si>
    <t>BASE COAT 04</t>
  </si>
  <si>
    <t>BASE COAT 10</t>
  </si>
  <si>
    <t>BASE COAT 20</t>
  </si>
  <si>
    <t>BC2-IN-1 WITH CARTRIDGE (NEC02H)</t>
  </si>
  <si>
    <t>BEND 1/2 (JK)</t>
  </si>
  <si>
    <t>BESIN NUT (JK)</t>
  </si>
  <si>
    <t>BF WALL HUNG C 32 W P TRAP (WH-32-P)</t>
  </si>
  <si>
    <t>BIB COCK 2-IN-1 WITH WF (P103A)</t>
  </si>
  <si>
    <t>BIB COCK GARDEN TYPE (NEC02D)</t>
  </si>
  <si>
    <t>BIB COCK WITH WF (ALBC101)</t>
  </si>
  <si>
    <t>BIB COCK WITH WF (CLBC101)</t>
  </si>
  <si>
    <t>BIB COCK WITH WF (NEC02)</t>
  </si>
  <si>
    <t>BIB COCK WITH WF (P103)</t>
  </si>
  <si>
    <t>BIB COCK WITH WF (PP103)</t>
  </si>
  <si>
    <t>BIO BLOCK CLEAR 01</t>
  </si>
  <si>
    <t>BL01 01</t>
  </si>
  <si>
    <t>2/</t>
  </si>
  <si>
    <t>BL01 04</t>
  </si>
  <si>
    <t>BL01 10</t>
  </si>
  <si>
    <t>BL01 20</t>
  </si>
  <si>
    <t>BL10 01</t>
  </si>
  <si>
    <t>BL10 04</t>
  </si>
  <si>
    <t>BL10 10</t>
  </si>
  <si>
    <t>BL10 20</t>
  </si>
  <si>
    <t>BL13 01</t>
  </si>
  <si>
    <t>BL13 04</t>
  </si>
  <si>
    <t>BL13 10</t>
  </si>
  <si>
    <t>BLACK</t>
  </si>
  <si>
    <t>1PKT</t>
  </si>
  <si>
    <t>BLACK (KOKILA)</t>
  </si>
  <si>
    <t>BLACK BOARD PAINTS 0.5 (BABA)</t>
  </si>
  <si>
    <t>BLACK BOARD PAINTS 0.5 (SHANGRILA)</t>
  </si>
  <si>
    <t>BLACK BOARD PAINTS 01 (BABA)</t>
  </si>
  <si>
    <t>BLACK BOARD PAINTS 01 (SHANGRILA)</t>
  </si>
  <si>
    <t>BLACK JAPAN 0.5 (BABA)</t>
  </si>
  <si>
    <t>BLACK JAPAN 0.5 (SHANGRILA)</t>
  </si>
  <si>
    <t>BLACK JAPAN 0.5 (WEMBLEY)</t>
  </si>
  <si>
    <t>BLACK JAPAN 01 (BABA)</t>
  </si>
  <si>
    <t>BLACK JAPAN 01 (SHANGRILA)</t>
  </si>
  <si>
    <t>BLACK JAPAN 01 (WEMBLEY)</t>
  </si>
  <si>
    <t>BLACK JAPAN 04 (BABA)</t>
  </si>
  <si>
    <t>BLACK JAPAN 04 (SHANGRILA)</t>
  </si>
  <si>
    <t>BODY GRSLCD HIGH FLOW (GRDV202)</t>
  </si>
  <si>
    <t>BODY ROYALE INSPIRE SLCD HF (B2DV202)</t>
  </si>
  <si>
    <t>BOLT (JK)</t>
  </si>
  <si>
    <t>BOND SET (BIG) (JK)</t>
  </si>
  <si>
    <t>BROWN</t>
  </si>
  <si>
    <t>BROWN (HATHI TRISHUL)</t>
  </si>
  <si>
    <t>BRUSH (CUP)</t>
  </si>
  <si>
    <t>BT LITE SET WITH 5" &amp; 7" PIPE (C231K)</t>
  </si>
  <si>
    <t>BT PLAIN SPOUT (ALSP101)</t>
  </si>
  <si>
    <t>BT PLAIN SPOUT (CLSP101)</t>
  </si>
  <si>
    <t>BT PLAIN SPOUT (INSP101)</t>
  </si>
  <si>
    <t>BTS WITH BUTTON ATT (ELSP102)</t>
  </si>
  <si>
    <t>BTS WITH BUTTON ATT (SRSP102)</t>
  </si>
  <si>
    <t>BTS WITH WF NEW (BASP101S)</t>
  </si>
  <si>
    <t>BUTTER PAPER AP</t>
  </si>
  <si>
    <t>BUTTON SPOUT (PP117)</t>
  </si>
  <si>
    <t>BW01 01</t>
  </si>
  <si>
    <t>BW01 04</t>
  </si>
  <si>
    <t>BW01 10</t>
  </si>
  <si>
    <t>BW01 20</t>
  </si>
  <si>
    <t>BW06 01</t>
  </si>
  <si>
    <t>BW06 04</t>
  </si>
  <si>
    <t>BW06 10</t>
  </si>
  <si>
    <t>BW06 20</t>
  </si>
  <si>
    <t>BW10 01</t>
  </si>
  <si>
    <t>BW10 04</t>
  </si>
  <si>
    <t>BW10 10</t>
  </si>
  <si>
    <t>BW10 20</t>
  </si>
  <si>
    <t>BW13 01</t>
  </si>
  <si>
    <t>BW13 04</t>
  </si>
  <si>
    <t>BW13 10</t>
  </si>
  <si>
    <t>BW13 20</t>
  </si>
  <si>
    <t>BW15 01</t>
  </si>
  <si>
    <t>BW15 04</t>
  </si>
  <si>
    <t>BW15 10</t>
  </si>
  <si>
    <t>BW16 01</t>
  </si>
  <si>
    <t>BW20 01</t>
  </si>
  <si>
    <t>BW20 04</t>
  </si>
  <si>
    <t>BW20 10</t>
  </si>
  <si>
    <t>BW20 20</t>
  </si>
  <si>
    <t>BW22 01</t>
  </si>
  <si>
    <t>BW22 04</t>
  </si>
  <si>
    <t>BW22 10</t>
  </si>
  <si>
    <t>CEMENT PRIMER LUXURY 01</t>
  </si>
  <si>
    <t>CEMENT PRIMER LUXURY 04</t>
  </si>
  <si>
    <t>CEMENT PRIMER LUXURY 10</t>
  </si>
  <si>
    <t>CEMENT PRIMER LUXURY 20</t>
  </si>
  <si>
    <t>CEMENT PRIMER UNO 01</t>
  </si>
  <si>
    <t>CEMENT PRIMER UNO 04</t>
  </si>
  <si>
    <t>CEMENT PRIMER UNO 10</t>
  </si>
  <si>
    <t>CEMENT PRIMER UNO 20</t>
  </si>
  <si>
    <t>CEMENT PRIMER UTSAV 20</t>
  </si>
  <si>
    <t>CHAPRA (BOTTAM LAC)</t>
  </si>
  <si>
    <t>CHAPRA (MEDIUM)</t>
  </si>
  <si>
    <t>CHAPRA (NORMAL)</t>
  </si>
  <si>
    <t>CHAPRA (SPL)</t>
  </si>
  <si>
    <t>CHAPRA/ BASE WOOD POLISH 0.5</t>
  </si>
  <si>
    <t>CHAPRA/ BASE WOOD POLISH 01</t>
  </si>
  <si>
    <t>CHBM W/O PWS (P118)</t>
  </si>
  <si>
    <t>CHBM W/O PWS WITH 600MM FH (PT07A)</t>
  </si>
  <si>
    <t>CHBM W/O PWS WITH FP (NEC07)</t>
  </si>
  <si>
    <t>COL 0.5</t>
  </si>
  <si>
    <t>0.5KG</t>
  </si>
  <si>
    <t>COL 01</t>
  </si>
  <si>
    <t>COMMOD SPRAY (JK)</t>
  </si>
  <si>
    <t>COMPOUND PUTTY 01 (N)</t>
  </si>
  <si>
    <t>CONNECTION PIPE 2FT (JK)</t>
  </si>
  <si>
    <t>COPPER PAINT 0.05 (BODHI)</t>
  </si>
  <si>
    <t>50ML</t>
  </si>
  <si>
    <t>COPPER PAINT 0.1 (BODHI)</t>
  </si>
  <si>
    <t>0.1LT</t>
  </si>
  <si>
    <t>COPPER PAINT 0.1 (VENEZIA)</t>
  </si>
  <si>
    <t>COPPER PAINT 0.2 (BODHI)</t>
  </si>
  <si>
    <t>COPPER PAINT 0.2 (VENEZIA)</t>
  </si>
  <si>
    <t>COPPER PAINT 0.5 (BODHI)</t>
  </si>
  <si>
    <t>COPPER PAINT 0.5 (VENEZIA)</t>
  </si>
  <si>
    <t>COPPER PAINT 0.5 TT(NORMAL)</t>
  </si>
  <si>
    <t>CP CAP (JK)</t>
  </si>
  <si>
    <t>CP NIPPLE 1.5" (JK)</t>
  </si>
  <si>
    <t>CP NIPPLE 1" (JK)</t>
  </si>
  <si>
    <t>CPVC 1/3 (JK)</t>
  </si>
  <si>
    <t>CPVC BALLVEL 1" (JK)</t>
  </si>
  <si>
    <t>CPVC SOCKET 1" (JK)</t>
  </si>
  <si>
    <t>CPVC T (JK)</t>
  </si>
  <si>
    <t>CPVC T 1" (JK)</t>
  </si>
  <si>
    <t>CRACK SEAL AP 01</t>
  </si>
  <si>
    <t>CRACK SEAL POWDER</t>
  </si>
  <si>
    <t>CRINKLE PAPER AP</t>
  </si>
  <si>
    <t>1RL</t>
  </si>
  <si>
    <t>CRINKLE PAPER OTHER</t>
  </si>
  <si>
    <t>DAMP BLOCK 02</t>
  </si>
  <si>
    <t>2KG</t>
  </si>
  <si>
    <t>DAMP BLOCK 05</t>
  </si>
  <si>
    <t>DAMP BLOCK 10</t>
  </si>
  <si>
    <t>DAMP BLOCK 2K 03</t>
  </si>
  <si>
    <t>3KG</t>
  </si>
  <si>
    <t>DAMP BLOCK 2K 15</t>
  </si>
  <si>
    <t>15KG</t>
  </si>
  <si>
    <t>DAMP PROOF 01</t>
  </si>
  <si>
    <t>DAMP PROOF 04</t>
  </si>
  <si>
    <t>DAMP PROOF 04 (SPARK)</t>
  </si>
  <si>
    <t>DAMP PROOF 04 (ULTRA)</t>
  </si>
  <si>
    <t>DAMP PROOF 10</t>
  </si>
  <si>
    <t>DAMP PROOF 10 (SPARK)</t>
  </si>
  <si>
    <t>DAMP PROOF 20</t>
  </si>
  <si>
    <t>DAMP PROOF 20 (SPARK)</t>
  </si>
  <si>
    <t>DAMP PROOF 20 (ULTRA)</t>
  </si>
  <si>
    <t>DAMP SEATH (INT) 01</t>
  </si>
  <si>
    <t>DAMP SEATH (INT) 04</t>
  </si>
  <si>
    <t>DAMP SEATH (INT) 10</t>
  </si>
  <si>
    <t>DAMP SEATH (INT) 20</t>
  </si>
  <si>
    <t>DCPM 01</t>
  </si>
  <si>
    <t>DCPM 04</t>
  </si>
  <si>
    <t>DCPM 10</t>
  </si>
  <si>
    <t>03/06 YES</t>
  </si>
  <si>
    <t>DCPM 20</t>
  </si>
  <si>
    <t>0306 77/NO</t>
  </si>
  <si>
    <t>DD01 01</t>
  </si>
  <si>
    <t>DD01 04</t>
  </si>
  <si>
    <t>DD01 10</t>
  </si>
  <si>
    <t>DD01 20</t>
  </si>
  <si>
    <t>DD10 01</t>
  </si>
  <si>
    <t>DD10 04</t>
  </si>
  <si>
    <t>DD10 10</t>
  </si>
  <si>
    <t>DD10 20</t>
  </si>
  <si>
    <t>DD20 01</t>
  </si>
  <si>
    <t>DD20 04</t>
  </si>
  <si>
    <t>DD20 10</t>
  </si>
  <si>
    <t>DD20 20</t>
  </si>
  <si>
    <t>DECO PRIMER SUNLAC WHT</t>
  </si>
  <si>
    <t>1 LTR.</t>
  </si>
  <si>
    <t>DHAGO</t>
  </si>
  <si>
    <t>DHALAN KILLA 1.5" (JK)</t>
  </si>
  <si>
    <t>DIS INDIGO ID01 01</t>
  </si>
  <si>
    <t>DIS INDIGO ID01 05</t>
  </si>
  <si>
    <t>DIS INDIGO ID01 10</t>
  </si>
  <si>
    <t>DIS INDIGO ID01 20</t>
  </si>
  <si>
    <t>DIS MAYA MD01 01</t>
  </si>
  <si>
    <t>DIS MAYA MD01 05</t>
  </si>
  <si>
    <t>DIS MAYA MD01 10</t>
  </si>
  <si>
    <t>DIS MAYA MD01 20</t>
  </si>
  <si>
    <t>DIS SAGOON 01</t>
  </si>
  <si>
    <t>DIS SAGOON 05</t>
  </si>
  <si>
    <t>DIS SAGOON 10</t>
  </si>
  <si>
    <t>DIS SAGOON 20</t>
  </si>
  <si>
    <t>DIS UNO 01</t>
  </si>
  <si>
    <t>DIS UNO 05</t>
  </si>
  <si>
    <t>DIS UNO 10</t>
  </si>
  <si>
    <t>DIS UNO 20</t>
  </si>
  <si>
    <t>Discount</t>
  </si>
  <si>
    <t>DIVERTER UPPER HF &amp; REG PUSH (MYDV111U)</t>
  </si>
  <si>
    <t>DR. FIX CRACK SEAL/ PASTE 01</t>
  </si>
  <si>
    <t>DR. FIX SUPER LATEX 01</t>
  </si>
  <si>
    <t>DR. FIX SUPER LATEX 05</t>
  </si>
  <si>
    <t>DR. FIXIT ROFA CERA CLEAR 01</t>
  </si>
  <si>
    <t>DR.FIXIT FEVIMATE T.L. IVORY 0.5</t>
  </si>
  <si>
    <t>DR.FIXIT FEVIMATE T.L. WHITE 0.5</t>
  </si>
  <si>
    <t>DRILL BIT (JK)</t>
  </si>
  <si>
    <t>DUCO CLEAR / LACQUER 01</t>
  </si>
  <si>
    <t>DURAKOTE AR (SILICON) 01</t>
  </si>
  <si>
    <t>EC SHOWER ARM (SA101)</t>
  </si>
  <si>
    <t>ELBO 1" (JK)</t>
  </si>
  <si>
    <t>EN BRGER SMOKE GREY 04</t>
  </si>
  <si>
    <t>EN UTSAV BLACK 0.5</t>
  </si>
  <si>
    <t>EN UTSAV BLACK 01</t>
  </si>
  <si>
    <t>EN UTSAV BLACK 04</t>
  </si>
  <si>
    <t>EN UTSAV BROWN 0.5</t>
  </si>
  <si>
    <t>EN UTSAV BROWN 01</t>
  </si>
  <si>
    <t>EN UTSAV BROWN 04</t>
  </si>
  <si>
    <t>EN UTSAV CHOCOLATE 0.5</t>
  </si>
  <si>
    <t>EN UTSAV CHOCOLATE 01</t>
  </si>
  <si>
    <t>EN UTSAV LEAF BROWN 0.5</t>
  </si>
  <si>
    <t>EN UTSAV LEAF BROWN 01</t>
  </si>
  <si>
    <t>EN UTSAV LEAF BROWN 04</t>
  </si>
  <si>
    <t>EN UTSAV SMOKE GREY 01</t>
  </si>
  <si>
    <t>EN UTSAV WHITE 0.5</t>
  </si>
  <si>
    <t>EN UTSAV WHITE 01</t>
  </si>
  <si>
    <t>EN UTSAV WHITE 04</t>
  </si>
  <si>
    <t>EPOXY BLACK 01</t>
  </si>
  <si>
    <t>EPOXY PAINT 01 (SUNLAC)</t>
  </si>
  <si>
    <t>EPOXY PAINT BLACK 01 (SUNLAC)</t>
  </si>
  <si>
    <t>EPOXY PRIME GREY 01</t>
  </si>
  <si>
    <t>EPOXY PRIMER 01 (SUNLAC)</t>
  </si>
  <si>
    <t>EPOXY WHITE 01</t>
  </si>
  <si>
    <t>EXT EC01 INDIGO 01</t>
  </si>
  <si>
    <t>EXT EC01 INDIGO 04</t>
  </si>
  <si>
    <t>EXT EC01 INDIGO 10</t>
  </si>
  <si>
    <t>EXT EC01 INDIGO 20</t>
  </si>
  <si>
    <t>EXT EC15 INDIGO 01</t>
  </si>
  <si>
    <t>EXT EC15 INDIGO 04</t>
  </si>
  <si>
    <t>EXT INDIGO RED 01</t>
  </si>
  <si>
    <t>EXT PRIMER 01</t>
  </si>
  <si>
    <t>EXT PRIMER 04</t>
  </si>
  <si>
    <t>EXT PRIMER 10</t>
  </si>
  <si>
    <t>EXT PRIMER INDIGO 01</t>
  </si>
  <si>
    <t>EXT PRIMER INDIGO 04</t>
  </si>
  <si>
    <t>EXT PRIMER INDIGO 10</t>
  </si>
  <si>
    <t>EXT PRIMER INDIGO 20</t>
  </si>
  <si>
    <t>EXTENSION NIPPLE 1.5" (EN15)</t>
  </si>
  <si>
    <t>EXTENSION NIPPLE 1" (EN10)</t>
  </si>
  <si>
    <t>EXTENSION NIPPLE 2.5" (EN25)</t>
  </si>
  <si>
    <t>EXTENSION NIPPLE 2" (EN20)</t>
  </si>
  <si>
    <t>FEMALE SOCKET (PPR) (JK)</t>
  </si>
  <si>
    <t>FEVICOL SH 0.5</t>
  </si>
  <si>
    <t>FEVICOL SH 01</t>
  </si>
  <si>
    <t>FIBER GLASS TAPE / JALI TAPE</t>
  </si>
  <si>
    <t>FLASH PIPE 36" (JK)</t>
  </si>
  <si>
    <t>FLINT / KHAKSI PAPER</t>
  </si>
  <si>
    <t>FLINT /PAPER KHAKSI DISC / WHEEL / MACHINE</t>
  </si>
  <si>
    <t>FLINT /PAPER KHAKSI DISC / WHEEL / MACHINE (CENTURY)</t>
  </si>
  <si>
    <t>FLINT /PAPER KHAKSI DISC / WHEEL / MACHINE (KHAKSI PAD)</t>
  </si>
  <si>
    <t>FLOORING &amp; FURNISHING</t>
  </si>
  <si>
    <t>FURNITURE &amp; FIXTURES</t>
  </si>
  <si>
    <t>GERU</t>
  </si>
  <si>
    <t>GLASS/ACR. SHELF (46CM*13CM) (AC307)</t>
  </si>
  <si>
    <t>GLASS/ACRYLIC SHELF(56CM*13CM) (AC107)</t>
  </si>
  <si>
    <t>GLOSSY (PU) 01</t>
  </si>
  <si>
    <t>GLOSSY (PU) 01 (RELIANCE)</t>
  </si>
  <si>
    <t>GLOSSY EXT (PU) 01 (SUNLACK)</t>
  </si>
  <si>
    <t>GLOSSY INT (PU) 01 (SUNLACK)</t>
  </si>
  <si>
    <t>GLOSSY MELAMINE (MG) 01 (MOTOLAC)</t>
  </si>
  <si>
    <t>GLOSSY MELAMINE (MG) 01 (RELAINCE)</t>
  </si>
  <si>
    <t>GLOSSY MELAMINE (MG) 01 (SUNLAC)</t>
  </si>
  <si>
    <t>GLOSSY MELAMINE 01 (ICI/DUCO)</t>
  </si>
  <si>
    <t>GLOSSY MELAMINE 5.5</t>
  </si>
  <si>
    <t>5.5LT</t>
  </si>
  <si>
    <t>GLOSSY MELAMINE BRUSH 01</t>
  </si>
  <si>
    <t>GLOSSY MELAMINE BRUSH 01 (N)</t>
  </si>
  <si>
    <t>GLOSSY MELAMINE BRUSH 1.5</t>
  </si>
  <si>
    <t>1.5LT</t>
  </si>
  <si>
    <t>GLOSSY MELAMINE SPRAY 01</t>
  </si>
  <si>
    <t>GLOVES (CUTTON)</t>
  </si>
  <si>
    <t>1PAIR</t>
  </si>
  <si>
    <t>GLOVES (RUBBER)</t>
  </si>
  <si>
    <t>GLUE HIGH</t>
  </si>
  <si>
    <t>GLUE NORMAL</t>
  </si>
  <si>
    <t>GODREZ TA GREY 20</t>
  </si>
  <si>
    <t>GOLD PAINT 0.05 (BODHI)</t>
  </si>
  <si>
    <t>GOLD PAINT 0.05 (NORMAL)</t>
  </si>
  <si>
    <t>GOLD PAINT 0.05 (VENEZIA)</t>
  </si>
  <si>
    <t>GOLD PAINT 0.1 (BODHI)</t>
  </si>
  <si>
    <t>GOLD PAINT 0.1 (HATO)</t>
  </si>
  <si>
    <t>GOLD PAINT 0.1 (NORMAL)</t>
  </si>
  <si>
    <t>GOLD PAINT 0.1 (VENEZIA)</t>
  </si>
  <si>
    <t>GOLD PAINT 0.15 (HATO)</t>
  </si>
  <si>
    <t>0.15M</t>
  </si>
  <si>
    <t>GOLD PAINT 0.2 (BODHI)</t>
  </si>
  <si>
    <t>GOLD PAINT 0.2 (NORMAL)</t>
  </si>
  <si>
    <t>GOLD PAINT 0.2 (VENEZIA)</t>
  </si>
  <si>
    <t>GOLD PAINT 0.2 TT(NORMAL)</t>
  </si>
  <si>
    <t>GOLD PAINT 0.237 (HATO AG919)</t>
  </si>
  <si>
    <t>8OZ</t>
  </si>
  <si>
    <t>GOLD PAINT 0.3 (HATO 444)</t>
  </si>
  <si>
    <t>0.3LT</t>
  </si>
  <si>
    <t>GOLD PAINT 0.5 (BODHI)</t>
  </si>
  <si>
    <t>GOLD PAINT 0.5 (HATO)</t>
  </si>
  <si>
    <t>GOLD PAINT 0.5 (NORMAL)</t>
  </si>
  <si>
    <t>GOLD PAINT 0.5 (VENEZIA)</t>
  </si>
  <si>
    <t>GOLD PAINT 01 (BODHI)</t>
  </si>
  <si>
    <t>GOLD PAINT 01 (HATO 444)</t>
  </si>
  <si>
    <t>GOLD PAINT 01 (HATO)</t>
  </si>
  <si>
    <t>GOLD PAINT 01 (NORMAL)</t>
  </si>
  <si>
    <t>GOLD PAINT 01 (VENEZIA)</t>
  </si>
  <si>
    <t>GOLDEN POWDER</t>
  </si>
  <si>
    <t>GR BUTTON SPOUT (GRSP102)</t>
  </si>
  <si>
    <t>GRIP KILLA 1/2" (JK)</t>
  </si>
  <si>
    <t>GROWTH WHITE (JK)</t>
  </si>
  <si>
    <t>HAND SHOWER HALO WITH SPRAY FLOW (RSTS301)</t>
  </si>
  <si>
    <t>HANGER (JK)</t>
  </si>
  <si>
    <t>HC TABLE TOP 33 W (TT-33-X)</t>
  </si>
  <si>
    <t>HEALTH FAUCET BATH SENSE (C232N)</t>
  </si>
  <si>
    <t>HQ02 0.2</t>
  </si>
  <si>
    <t>HQ02 01</t>
  </si>
  <si>
    <t>HQ02 04</t>
  </si>
  <si>
    <t>HQ02 10</t>
  </si>
  <si>
    <t>HQ02 20</t>
  </si>
  <si>
    <t>HQ06 0.2</t>
  </si>
  <si>
    <t>HQ06 01</t>
  </si>
  <si>
    <t>HQ06 04</t>
  </si>
  <si>
    <t>HQ06 10</t>
  </si>
  <si>
    <t>1/damage</t>
  </si>
  <si>
    <t>HQ06 20</t>
  </si>
  <si>
    <t>HQ10 0.2</t>
  </si>
  <si>
    <t>HQ10 01</t>
  </si>
  <si>
    <t>HQ10 04</t>
  </si>
  <si>
    <t>6134 1*1</t>
  </si>
  <si>
    <t>HQ10 10</t>
  </si>
  <si>
    <t>HQ10 20</t>
  </si>
  <si>
    <t>HQ13 0.2</t>
  </si>
  <si>
    <t>HQ13 01</t>
  </si>
  <si>
    <t>HQ13 04</t>
  </si>
  <si>
    <t>HQ13 10</t>
  </si>
  <si>
    <t>HQ13 20</t>
  </si>
  <si>
    <t>HQ16 0.2</t>
  </si>
  <si>
    <t>HQ16 01</t>
  </si>
  <si>
    <t>HQ16 04</t>
  </si>
  <si>
    <t>HQ16 10</t>
  </si>
  <si>
    <t>HQ16 20</t>
  </si>
  <si>
    <t>HQ17 0.2</t>
  </si>
  <si>
    <t>HQ17 01</t>
  </si>
  <si>
    <t>HQ17 04</t>
  </si>
  <si>
    <t>HQ17 10</t>
  </si>
  <si>
    <t>HQ17 20</t>
  </si>
  <si>
    <t>HQ20 0.2</t>
  </si>
  <si>
    <t>HQ20 01</t>
  </si>
  <si>
    <t>HQ20 04</t>
  </si>
  <si>
    <t>2/LESS</t>
  </si>
  <si>
    <t>HQ20 10</t>
  </si>
  <si>
    <t>12/15-4/yes</t>
  </si>
  <si>
    <t>HQ20 20</t>
  </si>
  <si>
    <t>HS02 01</t>
  </si>
  <si>
    <t>HS02 04</t>
  </si>
  <si>
    <t>HS02 10</t>
  </si>
  <si>
    <t>HS02 20</t>
  </si>
  <si>
    <t>HS11 01</t>
  </si>
  <si>
    <t>HS11 04</t>
  </si>
  <si>
    <t>HS11 10</t>
  </si>
  <si>
    <t>HS11 20</t>
  </si>
  <si>
    <t>HS22 01</t>
  </si>
  <si>
    <t>HS22 04</t>
  </si>
  <si>
    <t>HS22 10</t>
  </si>
  <si>
    <t>HYDROLOC 01 SC</t>
  </si>
  <si>
    <t>HYDROLOC 04 SC</t>
  </si>
  <si>
    <t>INDIGO EXT EXPRESSION 20</t>
  </si>
  <si>
    <t>INDIGO EXT PAINT EX01 01</t>
  </si>
  <si>
    <t>INDIGO EXT PAINT EX01 04</t>
  </si>
  <si>
    <t>INDIGO EXT PAINT EX01 10</t>
  </si>
  <si>
    <t>INDIGO EXT PAINT EX01 20</t>
  </si>
  <si>
    <t>INDIGO EXT PAINT EX15 01</t>
  </si>
  <si>
    <t>INDIGO EXT PAINT EX15 04</t>
  </si>
  <si>
    <t>INDIGO EXT PAINT EX17 01</t>
  </si>
  <si>
    <t>INDIGO EXT PAINT EX17 04</t>
  </si>
  <si>
    <t>INDIGO F.C. EML. BLACK 01</t>
  </si>
  <si>
    <t>INDIGO F.C. EML. GOL. YELLOW 01</t>
  </si>
  <si>
    <t>INDIGO F.C. EML. STEEL GREY 01</t>
  </si>
  <si>
    <t>INDIGO F.C. EML. STEEL GREY 04</t>
  </si>
  <si>
    <t>INDIGO F.C. EML. TERRACOTTA 01</t>
  </si>
  <si>
    <t>INDIGO F.C. EML. TERRACOTTA 04</t>
  </si>
  <si>
    <t>INDIGO MASTERCARE TERRACOTA 01</t>
  </si>
  <si>
    <t>INSURANCE EXPENSES</t>
  </si>
  <si>
    <t>INT PRIMER INDIGO 01</t>
  </si>
  <si>
    <t>INT PRIMER INDIGO 04</t>
  </si>
  <si>
    <t>INT PRIMER INDIGO 10</t>
  </si>
  <si>
    <t>INT PRIMER INDIGO 20</t>
  </si>
  <si>
    <t>INTERNET &amp; TV SUBSCRIPTION</t>
  </si>
  <si>
    <t>JALI (SMALL) 1.5" (JK)</t>
  </si>
  <si>
    <t>11/15-6/NO 1/LESS</t>
  </si>
  <si>
    <t>KAPADA / MALMAL / CLEANING CLOTHES</t>
  </si>
  <si>
    <t>KILA PECH 2" (NORMAL) (JK)</t>
  </si>
  <si>
    <t>LACQUER / TT CLEAR 0.5 (MOTOLAC)</t>
  </si>
  <si>
    <t>11/15-17/YES</t>
  </si>
  <si>
    <t>LACQUER / TT CLEAR 0.5 (SUNLAC)</t>
  </si>
  <si>
    <t>LACQUER / TT CLEAR 0.5 (WEMBLEY)</t>
  </si>
  <si>
    <t>LACQUER/ TT CLEAR 01 (MOTOLAC)</t>
  </si>
  <si>
    <t>LACQUER/ TT CLEAR 01 (SUNLAC)</t>
  </si>
  <si>
    <t>LACQUER/ TT CLEAR 01 (WEMBLEY)</t>
  </si>
  <si>
    <t>LIQD (JK)</t>
  </si>
  <si>
    <t>LONG BODY BIB COCK (FF) WF (C209)</t>
  </si>
  <si>
    <t>LONG BODY BIB COCK (FF) WF (NEC02B)</t>
  </si>
  <si>
    <t>LONG BODY BIB COCK WITH WF (P105)</t>
  </si>
  <si>
    <t>LONG BODY BIB COCK WITH WF (PP105)</t>
  </si>
  <si>
    <t>LUNCH &amp; REFRESHMENT</t>
  </si>
  <si>
    <t>PAX</t>
  </si>
  <si>
    <t>M/P 0.5</t>
  </si>
  <si>
    <t>M/P 0.5 (INDIGO)</t>
  </si>
  <si>
    <t>M/P 0.5 (TRACTOR)</t>
  </si>
  <si>
    <t>M/P 01</t>
  </si>
  <si>
    <t>M/P 01 (INDIGO)</t>
  </si>
  <si>
    <t>M/P 01 (TRACTOR)</t>
  </si>
  <si>
    <t>M/P 04</t>
  </si>
  <si>
    <t>M/P 04 (INDIGO)</t>
  </si>
  <si>
    <t>M/P 04 (TRACTOR)</t>
  </si>
  <si>
    <t>M/P 20</t>
  </si>
  <si>
    <t>M/P 20 (INDIGO)</t>
  </si>
  <si>
    <t>M/P 20 (TRACTOR)</t>
  </si>
  <si>
    <t>MARBLE CUTTTER / GRANDER BLADE</t>
  </si>
  <si>
    <t>MASKING TAPE 1.5"</t>
  </si>
  <si>
    <t>MASKING TAPE 1"</t>
  </si>
  <si>
    <t>MASKING TAPE 2"</t>
  </si>
  <si>
    <t>MAYA EMULSION YELLOW 01</t>
  </si>
  <si>
    <t>MAYA EMULSION YELLOW 04</t>
  </si>
  <si>
    <t>Maya ME01 01</t>
  </si>
  <si>
    <t>Maya ME01 04</t>
  </si>
  <si>
    <t>Maya ME01 10</t>
  </si>
  <si>
    <t>Maya ME01 20</t>
  </si>
  <si>
    <t>MAYA ME20 01</t>
  </si>
  <si>
    <t>MAYA ME20 04</t>
  </si>
  <si>
    <t>MELAMINE MATT (MM) 01 (ICI/DUCO)</t>
  </si>
  <si>
    <t>MELAMINE MATT (MM) 01 (RELAINCE)</t>
  </si>
  <si>
    <t>MELAMINE MATT (MM) SUN.</t>
  </si>
  <si>
    <t>MELAMINE MATT (MM) WOOD STAINER RELAINCE 01</t>
  </si>
  <si>
    <t>MELAMINE MATT BRUSH 01</t>
  </si>
  <si>
    <t>MELAMINE MATT BRUSH 1.5 AP</t>
  </si>
  <si>
    <t>MELAMINE MATT BRUSH 5.5</t>
  </si>
  <si>
    <t>MELAMINE MATT SPRAY 01</t>
  </si>
  <si>
    <t>MELAMINE SEALER (MS) 01 (RELAINCE)</t>
  </si>
  <si>
    <t>MELAMINE SEALER 1.5</t>
  </si>
  <si>
    <t>MELAMINE SEALER 20</t>
  </si>
  <si>
    <t>MELAMINE SEALER AP 5.5</t>
  </si>
  <si>
    <t>MELAMINE SEALER BRUSH 01</t>
  </si>
  <si>
    <t>MELAMINE SEALER SPRAY 01</t>
  </si>
  <si>
    <t>MELAMINE SPRAY THINNER 0.5</t>
  </si>
  <si>
    <t>METAL CUTTING WHEEL 4" (JK)</t>
  </si>
  <si>
    <t>METAL PUTTING / NC PUTTY/ DUCO PUTTING 0.2</t>
  </si>
  <si>
    <t>METAL PUTTING / NC PUTTY/ DUCO PUTTING 0.5</t>
  </si>
  <si>
    <t>METAL PUTTING / NC PUTTY/ DUCO PUTTING 01</t>
  </si>
  <si>
    <t>MSEAL (JK)</t>
  </si>
  <si>
    <t>NATURAL SEA SPOUNGE (SMALL)</t>
  </si>
  <si>
    <t>NEW ECHO SINK COCK SS TM (NEC13A)</t>
  </si>
  <si>
    <t>NEWMAN LATEX ENAMEL BLACK 01</t>
  </si>
  <si>
    <t>NEWMAN LATEX ENAMEL CHOCOLATE 01</t>
  </si>
  <si>
    <t>NEWMAN LATEX ENAMEL LF BROWN 01</t>
  </si>
  <si>
    <t>NEWMAN LATEX ENAMEL PO RED 01</t>
  </si>
  <si>
    <t>NEWMAN LATEX ENAMEL SMOKE GREY 01</t>
  </si>
  <si>
    <t>NEWMAN LATEX ENAMEL WHITE 01</t>
  </si>
  <si>
    <t>OHS HALO WITH SPRAY FLOW WITH ARM (RSRF301)</t>
  </si>
  <si>
    <t>ORANGE</t>
  </si>
  <si>
    <t>PACKING BAGS</t>
  </si>
  <si>
    <t>PAINT BRUSH (NEPAL)</t>
  </si>
  <si>
    <t>PAINT BRUSH 1" BD</t>
  </si>
  <si>
    <t>PAINT BRUSH 100 MM</t>
  </si>
  <si>
    <t>PAINT BRUSH 2" AD</t>
  </si>
  <si>
    <t>PAINT BRUSH 2" BD</t>
  </si>
  <si>
    <t>PAINT BRUSH 25 MM</t>
  </si>
  <si>
    <t>PAINT BRUSH 3" AD</t>
  </si>
  <si>
    <t>PAINT BRUSH 3" BD</t>
  </si>
  <si>
    <t>PAINT BRUSH 4" BD</t>
  </si>
  <si>
    <t>PAINT BRUSH 50 MM</t>
  </si>
  <si>
    <t>PAINT BRUSH 75 MM</t>
  </si>
  <si>
    <t>PAINT BRUSH PURE BRISTLE (NEPAL)</t>
  </si>
  <si>
    <t>PAINT BRUSH-044 1"</t>
  </si>
  <si>
    <t>PAINT BRUSH-044 2"</t>
  </si>
  <si>
    <t>PAINT BRUSH-044 3"</t>
  </si>
  <si>
    <t>PAINT BRUSH-333 2"</t>
  </si>
  <si>
    <t>PAINT BRUSH-333 3"</t>
  </si>
  <si>
    <t>PAINT BRUSH-444 1"</t>
  </si>
  <si>
    <t>PAINT BRUSH-444 2"</t>
  </si>
  <si>
    <t>PAINT BRUSH-444 3"</t>
  </si>
  <si>
    <t>PAINT BRUSH-444 4"</t>
  </si>
  <si>
    <t>PAINT BRUSH-555 2"</t>
  </si>
  <si>
    <t>PAINT BRUSH-555 3"</t>
  </si>
  <si>
    <t>PAINT BRUSH-555 4"</t>
  </si>
  <si>
    <t>PAINT BRUSH-777 3"</t>
  </si>
  <si>
    <t>PAINT BRUSH-A1 1"</t>
  </si>
  <si>
    <t>PAINT BRUSH-A1 2"</t>
  </si>
  <si>
    <t>PAINT BRUSH-A1 3"</t>
  </si>
  <si>
    <t>PAINT BRUSH-B1 1"</t>
  </si>
  <si>
    <t>PAINT BRUSH-B1 2"</t>
  </si>
  <si>
    <t>PAINT BRUSH-B1 3"</t>
  </si>
  <si>
    <t>11/15-17/NO 1/LESS</t>
  </si>
  <si>
    <t>PAINT REMOVER</t>
  </si>
  <si>
    <t>11/15-16/no</t>
  </si>
  <si>
    <t>PAINTING ROLLER TRAY</t>
  </si>
  <si>
    <t>11/15-11/no 1/over</t>
  </si>
  <si>
    <t>PEN BRUSH (FM 1-6)</t>
  </si>
  <si>
    <t>PEN BRUSH (FM 14-16)</t>
  </si>
  <si>
    <t>PEN BRUSH (FM 18)</t>
  </si>
  <si>
    <t>11/15-11/NO 1/OVER</t>
  </si>
  <si>
    <t>PEN BRUSH (FM 7-12)</t>
  </si>
  <si>
    <t>11/15-3/yes</t>
  </si>
  <si>
    <t>11/15-7/yes</t>
  </si>
  <si>
    <t>PERISH (BORA 20KG)</t>
  </si>
  <si>
    <t>1BAG</t>
  </si>
  <si>
    <t>PERISH BLADE</t>
  </si>
  <si>
    <t>PERISH BLADE 3"</t>
  </si>
  <si>
    <t>11/15-4/no 1/less</t>
  </si>
  <si>
    <t>PERISH BLADE 4"</t>
  </si>
  <si>
    <t>11/15-3/YES</t>
  </si>
  <si>
    <t>PERMA CLEARSEAL 01</t>
  </si>
  <si>
    <t>11/15-4/YES</t>
  </si>
  <si>
    <t>PET JAR</t>
  </si>
  <si>
    <t>PGE AD GREY 0.5</t>
  </si>
  <si>
    <t>PGE AD GREY 01</t>
  </si>
  <si>
    <t>PGE ALL CLRS 0.05</t>
  </si>
  <si>
    <t>PGE ALL CLRS 0.1</t>
  </si>
  <si>
    <t>PGE ALL CLRS 0.2</t>
  </si>
  <si>
    <t>PGE BLACK 0.5</t>
  </si>
  <si>
    <t>PGE BLACK 01</t>
  </si>
  <si>
    <t>PGE BLACK 04</t>
  </si>
  <si>
    <t>11/15-15/YES</t>
  </si>
  <si>
    <t>PGE BLACK 20</t>
  </si>
  <si>
    <t>11/15-1/YES</t>
  </si>
  <si>
    <t>PGE BLZ WHITE 0.1</t>
  </si>
  <si>
    <t>PGE BLZ WHITE 0.5</t>
  </si>
  <si>
    <t>11/15-7/YES</t>
  </si>
  <si>
    <t>PGE BLZ WHITE 01</t>
  </si>
  <si>
    <t>11/15-8/YES</t>
  </si>
  <si>
    <t>PGE BLZ WHITE 04</t>
  </si>
  <si>
    <t>11/15-5/YES</t>
  </si>
  <si>
    <t>PGE BLZ WHITE 20</t>
  </si>
  <si>
    <t>11/15-9/yes</t>
  </si>
  <si>
    <t>PGE BROWN 0.5</t>
  </si>
  <si>
    <t>PGE BROWN 01</t>
  </si>
  <si>
    <t>PGE BROWN 04</t>
  </si>
  <si>
    <t>PGE BUS GREEN 0.5</t>
  </si>
  <si>
    <t>PGE BUS GREEN 01</t>
  </si>
  <si>
    <t>PGE BUS GREEN 04</t>
  </si>
  <si>
    <t>PGE CHOCOLATE 0.5</t>
  </si>
  <si>
    <t>PGE CHOCOLATE 01</t>
  </si>
  <si>
    <t>11/15-2/yes</t>
  </si>
  <si>
    <t>PGE CHOCOLATE 04</t>
  </si>
  <si>
    <t>11/15-4/no 1/over</t>
  </si>
  <si>
    <t>PGE DEEP ORANGE 0.5</t>
  </si>
  <si>
    <t>11/15-4/yes</t>
  </si>
  <si>
    <t>PGE DEEP ORANGE 01</t>
  </si>
  <si>
    <t>PGE DEEP ORANGE 04</t>
  </si>
  <si>
    <t>11/15-2/YES</t>
  </si>
  <si>
    <t>PGE EB01 01</t>
  </si>
  <si>
    <t>PGE EB01 04</t>
  </si>
  <si>
    <t>PGE EB01 20</t>
  </si>
  <si>
    <t>PGE EB06 01</t>
  </si>
  <si>
    <t>PGE EB06 04</t>
  </si>
  <si>
    <t>PGE EB10 01</t>
  </si>
  <si>
    <t>PGE EB10 04</t>
  </si>
  <si>
    <t>11/15-12/no 1/less</t>
  </si>
  <si>
    <t>PGE EB15 01</t>
  </si>
  <si>
    <t>11/15-6/no 1/less 1/damage</t>
  </si>
  <si>
    <t>PGE EB15 04</t>
  </si>
  <si>
    <t>PGE EB16 01</t>
  </si>
  <si>
    <t>PGE EB16 04</t>
  </si>
  <si>
    <t>PGE EB20 01</t>
  </si>
  <si>
    <t>PGE EB20 04</t>
  </si>
  <si>
    <t>11/15-18/YES</t>
  </si>
  <si>
    <t>PGE GOL BROWN 0.5</t>
  </si>
  <si>
    <t>PGE GOL BROWN 01</t>
  </si>
  <si>
    <t>11/15-16/YES</t>
  </si>
  <si>
    <t>PGE GOL BROWN 04</t>
  </si>
  <si>
    <t>PGE GOL YELLOW 0.5</t>
  </si>
  <si>
    <t>PGE GOL YELLOW 01</t>
  </si>
  <si>
    <t>PGE GOL YELLOW 04</t>
  </si>
  <si>
    <t>PGE GOL YELLOW 20</t>
  </si>
  <si>
    <t>PGE GOLD 0.1</t>
  </si>
  <si>
    <t>PGE GOLD 0.2</t>
  </si>
  <si>
    <t>PGE GOLD 0.5</t>
  </si>
  <si>
    <t>PGE GOLD 01</t>
  </si>
  <si>
    <t>PGE LF BROWN 0.5</t>
  </si>
  <si>
    <t>PGE LF BROWN 01</t>
  </si>
  <si>
    <t>PGE LF BROWN 04</t>
  </si>
  <si>
    <t>PGE NCELL BLUE 04</t>
  </si>
  <si>
    <t>PGE OX BLUE 0.5</t>
  </si>
  <si>
    <t>PGE OX BLUE 01</t>
  </si>
  <si>
    <t>PGE OX BLUE 04</t>
  </si>
  <si>
    <t>PGE PHIROZI 0.5</t>
  </si>
  <si>
    <t>PGE PHIROZI 01</t>
  </si>
  <si>
    <t>PGE PHIROZI 04</t>
  </si>
  <si>
    <t>PGE PO RED 0.5</t>
  </si>
  <si>
    <t>PGE PO RED 01</t>
  </si>
  <si>
    <t>PGE PO RED 04</t>
  </si>
  <si>
    <t>PGE SAND STONE 0.5</t>
  </si>
  <si>
    <t>PGE SIG RED 0.5</t>
  </si>
  <si>
    <t>PGE SIG RED 01</t>
  </si>
  <si>
    <t>PGE SIG RED 04</t>
  </si>
  <si>
    <t>1/0427</t>
  </si>
  <si>
    <t>PGE SKY BLUE 0.5</t>
  </si>
  <si>
    <t>PGE SKY BLUE 01</t>
  </si>
  <si>
    <t>PGE SKY BLUE 04</t>
  </si>
  <si>
    <t>PGE SMOKE GREY 0.5</t>
  </si>
  <si>
    <t>PGE SMOKE GREY 01</t>
  </si>
  <si>
    <t>PGE SMOKE GREY 04</t>
  </si>
  <si>
    <t>PIDICRYAL/SILICON</t>
  </si>
  <si>
    <t>PIDICRYAL/SILICON (N)</t>
  </si>
  <si>
    <t>PILLAR COCK (ALPC101)</t>
  </si>
  <si>
    <t>PILLAR COCK (NEC01)</t>
  </si>
  <si>
    <t>PILLAR COCK (PP101)</t>
  </si>
  <si>
    <t>PILLAR COCK (TWPC101)</t>
  </si>
  <si>
    <t>PLAIN SPOUT (MYSP101)</t>
  </si>
  <si>
    <t>PLAIN SPOUT (PP116)</t>
  </si>
  <si>
    <t>PLASTIC</t>
  </si>
  <si>
    <t>PPR BALLVEL 1" (JK)</t>
  </si>
  <si>
    <t>PPR ELBO 1" (JK)</t>
  </si>
  <si>
    <t>PPR PIPE T 1" (JK)</t>
  </si>
  <si>
    <t>PRIMEX 10</t>
  </si>
  <si>
    <t>PS01 01</t>
  </si>
  <si>
    <t>PS01 04</t>
  </si>
  <si>
    <t>PS01 10</t>
  </si>
  <si>
    <t>PS01 20</t>
  </si>
  <si>
    <t>PS10 01</t>
  </si>
  <si>
    <t>PS10 04</t>
  </si>
  <si>
    <t>PS10 10</t>
  </si>
  <si>
    <t>PS10 20</t>
  </si>
  <si>
    <t>PS13 01</t>
  </si>
  <si>
    <t>PS13 04</t>
  </si>
  <si>
    <t>PS13 10</t>
  </si>
  <si>
    <t>PS13 20</t>
  </si>
  <si>
    <t>PS20 01</t>
  </si>
  <si>
    <t>PS20 04</t>
  </si>
  <si>
    <t>PS20 10</t>
  </si>
  <si>
    <t>PS20 20</t>
  </si>
  <si>
    <t>PSE SATIN BLACK 01</t>
  </si>
  <si>
    <t>PSE SATIN BLACK 04</t>
  </si>
  <si>
    <t>PSE SATIN BROWN 01</t>
  </si>
  <si>
    <t>PSE SATIN BROWN 04</t>
  </si>
  <si>
    <t>PSE SATIN LF BROWN 01</t>
  </si>
  <si>
    <t>PSE SATIN LF BROWN 04</t>
  </si>
  <si>
    <t>PSE SE02 0.5</t>
  </si>
  <si>
    <t>PSE SE02 01</t>
  </si>
  <si>
    <t>PSE SE02 04</t>
  </si>
  <si>
    <t>PSE SE02 20</t>
  </si>
  <si>
    <t>PSE SE06 0.5</t>
  </si>
  <si>
    <t>PSE SE06 01</t>
  </si>
  <si>
    <t>PSE SE06 04</t>
  </si>
  <si>
    <t>PSE SE10 01</t>
  </si>
  <si>
    <t>PSE SE10 04</t>
  </si>
  <si>
    <t>PSE SE20 01</t>
  </si>
  <si>
    <t>PSE SE20 04</t>
  </si>
  <si>
    <t>PSE SE20 20</t>
  </si>
  <si>
    <t>PU CLEAR MATT (RELIANCE) 01</t>
  </si>
  <si>
    <t>PU MATT EXT 01 (SUNLAC)</t>
  </si>
  <si>
    <t>PU MATT INT 01 (SUNLAC)</t>
  </si>
  <si>
    <t>PU SELAER EXT 01 (SUNLAC)</t>
  </si>
  <si>
    <t>PU SELAER INT 01 (SUNLAC)</t>
  </si>
  <si>
    <t>PURA LITE HF WITH PIPE &amp; HOOK (C232Y)</t>
  </si>
  <si>
    <t>PUTTING / PERISH BLADE 3"</t>
  </si>
  <si>
    <t>PUTTING / PERISH BLADE 4"</t>
  </si>
  <si>
    <t>PUTTING / PERISH BLADE 6"</t>
  </si>
  <si>
    <t>PUTTING / PERISH BLADE 8"</t>
  </si>
  <si>
    <t>PUTTING / PERISH BLADE WITH HANDLE</t>
  </si>
  <si>
    <t>PV FULL PEDESTAL P 23 W (FP-23-X)</t>
  </si>
  <si>
    <t>PV FULL PEDESTAL S 23 W (FP-23-S)</t>
  </si>
  <si>
    <t>PV WALL HUNG B 21 W (WM-21-X)</t>
  </si>
  <si>
    <t>PV WALL HUNG B 27 W (WM-27-X)</t>
  </si>
  <si>
    <t>PVC CONNECTION HOSE 24" (B2CH124)</t>
  </si>
  <si>
    <t>PVC COWL 4" (JK)</t>
  </si>
  <si>
    <t>R SOCKET 1/3 (JK)</t>
  </si>
  <si>
    <t>RAGGING ROLLER HANDLE 6"</t>
  </si>
  <si>
    <t>RAGGING ROLLER HANDLE 6" ROYAL PLAY</t>
  </si>
  <si>
    <t>RAMTILAK</t>
  </si>
  <si>
    <t>RB01 0.2</t>
  </si>
  <si>
    <t>RB01 01</t>
  </si>
  <si>
    <t>RB01 04</t>
  </si>
  <si>
    <t>RB01 10</t>
  </si>
  <si>
    <t>RB01 20</t>
  </si>
  <si>
    <t>RB06 0.2</t>
  </si>
  <si>
    <t>RB06 01</t>
  </si>
  <si>
    <t>RB06 04</t>
  </si>
  <si>
    <t>RB06 10</t>
  </si>
  <si>
    <t>RB06 20</t>
  </si>
  <si>
    <t>RB10 0.2</t>
  </si>
  <si>
    <t>RB10 01</t>
  </si>
  <si>
    <t>RB10 04</t>
  </si>
  <si>
    <t>RB10 10</t>
  </si>
  <si>
    <t>RB10 20</t>
  </si>
  <si>
    <t>RB20 0.2</t>
  </si>
  <si>
    <t>RB20 01</t>
  </si>
  <si>
    <t>RB20 04</t>
  </si>
  <si>
    <t>RB20 10</t>
  </si>
  <si>
    <t>RB20 20</t>
  </si>
  <si>
    <t>RB22 01</t>
  </si>
  <si>
    <t>RB22 04</t>
  </si>
  <si>
    <t>RB22 10</t>
  </si>
  <si>
    <t>10 LTR</t>
  </si>
  <si>
    <t>RB22 20</t>
  </si>
  <si>
    <t>20 LTR</t>
  </si>
  <si>
    <t>RECTANGULAR SELF CLEANING HEAD SHOWER (BHRF102)</t>
  </si>
  <si>
    <t>REPAIR &amp; MAINTENANCE</t>
  </si>
  <si>
    <t>REPAIR POLYMER 01</t>
  </si>
  <si>
    <t>REPAIR POLYMER 10</t>
  </si>
  <si>
    <t>ROAD MARKER WHITE 20</t>
  </si>
  <si>
    <t>ROAD MARKER YELLOW 20</t>
  </si>
  <si>
    <t>ROBE HOOK (2 WAY) (AC105)</t>
  </si>
  <si>
    <t>ROLLER</t>
  </si>
  <si>
    <t>ROLLER (DESIGN)</t>
  </si>
  <si>
    <t>ROLLER (TRIGGER)</t>
  </si>
  <si>
    <t>ROLLER 2"</t>
  </si>
  <si>
    <t>ROLLER 3", 4"</t>
  </si>
  <si>
    <t>ROLLER 4" FOAM</t>
  </si>
  <si>
    <t>ROLLER 6" FOAM</t>
  </si>
  <si>
    <t>ROLLER 6", 7" AXIS NUTS</t>
  </si>
  <si>
    <t>ROLLER 6", 7" AXIS SPL</t>
  </si>
  <si>
    <t>ROLLER 6", 7" SPL</t>
  </si>
  <si>
    <t>ROLLER 6",7" NUTS</t>
  </si>
  <si>
    <t>ROLLER 6",7" SPL</t>
  </si>
  <si>
    <t>ROLLER 9", 10"</t>
  </si>
  <si>
    <t>ROLLER 9", 10" SPL</t>
  </si>
  <si>
    <t>ROLLER STICK</t>
  </si>
  <si>
    <t>ROSE</t>
  </si>
  <si>
    <t>ROYAL GLITTER GOLD 0.2</t>
  </si>
  <si>
    <t>ROYAL GLITTER GOLD 01</t>
  </si>
  <si>
    <t>ROYAL GLITTER SLR 0.2</t>
  </si>
  <si>
    <t>ROYAL GLITTER SLR 01</t>
  </si>
  <si>
    <t>ROYAL PLAY BARIQ SLR 01</t>
  </si>
  <si>
    <t>ROYAL PLAY BARIQ SLR 05</t>
  </si>
  <si>
    <t>ROYAL PLAY COLOUR WASH BRUSH</t>
  </si>
  <si>
    <t>ROYAL PLAY COLOUR WASH SPONGE</t>
  </si>
  <si>
    <t>ROYAL PLAY COMB</t>
  </si>
  <si>
    <t>ROYAL PLAY DAMPLE PAPER</t>
  </si>
  <si>
    <t>ROYAL PLAY METALLIC COPPER 0.2</t>
  </si>
  <si>
    <t>ROYAL PLAY METALLIC COPPER 01</t>
  </si>
  <si>
    <t>ROYAL PLAY METALLIC GOLD 0.2</t>
  </si>
  <si>
    <t>ROYAL PLAY METALLIC GOLD 0.5</t>
  </si>
  <si>
    <t>ROYAL PLAY METALLIC GOLD 01</t>
  </si>
  <si>
    <t>ROYAL PLAY METALLIC SILVER 0.2</t>
  </si>
  <si>
    <t>ROYAL PLAY METALLIC SILVER 0.5</t>
  </si>
  <si>
    <t>ROYAL PLAY METALLIC SILVER 01</t>
  </si>
  <si>
    <t>ROYAL PLAY PG5 0.2</t>
  </si>
  <si>
    <t>ROYAL PLAY PG5 01</t>
  </si>
  <si>
    <t>ROYAL PLAY SEA SPONGE</t>
  </si>
  <si>
    <t>ROYAL PLAY SPATULA</t>
  </si>
  <si>
    <t>ROYAL PLAY STUCCO 05</t>
  </si>
  <si>
    <t>ROYAL PLAY STUCCO W1BASE 05</t>
  </si>
  <si>
    <t>RTB 0.2</t>
  </si>
  <si>
    <t>RTB 01</t>
  </si>
  <si>
    <t>RTB 04</t>
  </si>
  <si>
    <t>RTB 10</t>
  </si>
  <si>
    <t>SAND</t>
  </si>
  <si>
    <t>SANDING TOWEL</t>
  </si>
  <si>
    <t>SANITIZER</t>
  </si>
  <si>
    <t>SEAL TAPE BIG (JK)</t>
  </si>
  <si>
    <t>SEAL TAPE SMALL (JK)</t>
  </si>
  <si>
    <t>SEALER 0.5 (MOTOLAC)</t>
  </si>
  <si>
    <t>0.5 ltr</t>
  </si>
  <si>
    <t>SEALER 0.5 (SUNLAC)</t>
  </si>
  <si>
    <t>SEALER 0.5 (WEMBLY)</t>
  </si>
  <si>
    <t>SEALER 01 (DUCO/ICI)</t>
  </si>
  <si>
    <t>SEALER 01 (MOTOLAC)</t>
  </si>
  <si>
    <t>SEALER 01 (NITRO / RELIANCE)</t>
  </si>
  <si>
    <t>SEALER 01 (SUNLAC)</t>
  </si>
  <si>
    <t>SEALER 01 (WEMBLY)</t>
  </si>
  <si>
    <t>SHIELD MAX</t>
  </si>
  <si>
    <t>SILICON (INDIGO)</t>
  </si>
  <si>
    <t>SILICON (SIRCA) 01 RELIANCE</t>
  </si>
  <si>
    <t>SILICON (WATERBASE)</t>
  </si>
  <si>
    <t>SILICON 0.875 (BEGER A100)</t>
  </si>
  <si>
    <t>SILICON 01 (HATO)</t>
  </si>
  <si>
    <t>SILICON 04 (HATO)</t>
  </si>
  <si>
    <t>SILICON 3.5 (BEGER A100)</t>
  </si>
  <si>
    <t>3.5LT</t>
  </si>
  <si>
    <t>SILICON SEALANT (GLASS)</t>
  </si>
  <si>
    <t>SILICON SHIELD 01 SC</t>
  </si>
  <si>
    <t>SILICON SHIELD 04 SC</t>
  </si>
  <si>
    <t>SILICON SHIELD SHYNE 04 SC</t>
  </si>
  <si>
    <t>SILICON SUNLIGHT 20 (N)</t>
  </si>
  <si>
    <t>SILICON TB 01 (SUNGLO)</t>
  </si>
  <si>
    <t>SILICON TB 04 (SUNGLO)</t>
  </si>
  <si>
    <t>SILICON TB 20 (SUNGLO)</t>
  </si>
  <si>
    <t>SILICON WB 01 (SUNLAC)</t>
  </si>
  <si>
    <t>SILICON WB 01 (SUNLIGHT)</t>
  </si>
  <si>
    <t>SILICON WB 05 (SUNLIGHT)</t>
  </si>
  <si>
    <t>5LTR</t>
  </si>
  <si>
    <t>SILICON WITH GUN 01 (JK)</t>
  </si>
  <si>
    <t>SILICON/PYDICRYL 01</t>
  </si>
  <si>
    <t>SILVER PAINT 0.05 (BODHI)</t>
  </si>
  <si>
    <t>SILVER PAINT 0.1 (BODHI)</t>
  </si>
  <si>
    <t>SILVER PAINT 0.2 (BODHI)</t>
  </si>
  <si>
    <t>SINK 24" (JK)</t>
  </si>
  <si>
    <t>SINK COCK (TM) (P115)</t>
  </si>
  <si>
    <t>SINK COCK (WM) (ALSC101)</t>
  </si>
  <si>
    <t>SINK COCK (WM) (INSC101)</t>
  </si>
  <si>
    <t>SINK COCK (WM) (P127)</t>
  </si>
  <si>
    <t>SINK COCK (WM) (PP114)</t>
  </si>
  <si>
    <t>SINK COCK (WM) (PT13)</t>
  </si>
  <si>
    <t>SINK COCK WITH RSS &amp; WF (NEC13)</t>
  </si>
  <si>
    <t>SINK MIXER (WM) (MYSM101)</t>
  </si>
  <si>
    <t>SINK MIXER (WM) (PP127)</t>
  </si>
  <si>
    <t>SINK MIXER (WM) (PT12)</t>
  </si>
  <si>
    <t>SINK MIXER SS (WM) (SRSM101)</t>
  </si>
  <si>
    <t>SINK MIXER SS(WM) (ALSM101)</t>
  </si>
  <si>
    <t>SINK MIXER SS(WM) (CLSM101)</t>
  </si>
  <si>
    <t>SINK MIXER SS(WM) (ELSM101)</t>
  </si>
  <si>
    <t>SINK MIXER WM NEW WITH U SPOUT (BASM102N)</t>
  </si>
  <si>
    <t>SISTON (DOUBLE) (JK)</t>
  </si>
  <si>
    <t>SL SINKMIXER SS (WM) (DE26)</t>
  </si>
  <si>
    <t>SLBM (MYBM101)</t>
  </si>
  <si>
    <t>SLBM (PP119)</t>
  </si>
  <si>
    <t>SLBM EXTENDED (INBM102)</t>
  </si>
  <si>
    <t>SLBM W/O PWS (ALBM101)</t>
  </si>
  <si>
    <t>SLBM W/O PWS (BABM101)</t>
  </si>
  <si>
    <t>SLBM W/O PWS (CLBM101)</t>
  </si>
  <si>
    <t>SLBM W/O PWS (ELBM101)</t>
  </si>
  <si>
    <t>SLBM W/O PWS (GRBM101)</t>
  </si>
  <si>
    <t>SLBM W/O PWS (INBM101)</t>
  </si>
  <si>
    <t>SLBM W/O PWS (SRBM101)</t>
  </si>
  <si>
    <t>SLBM W/O PWS WITH FP (PT21)</t>
  </si>
  <si>
    <t>SLCD UPPER HIGH FLOW (ELDV202U)</t>
  </si>
  <si>
    <t>SLCD UPPER REG &amp; HF (SRDV202U)</t>
  </si>
  <si>
    <t>SLSM TM (MYSM202)</t>
  </si>
  <si>
    <t>SM WITH SS (WM) (NEC12)</t>
  </si>
  <si>
    <t>SN02 01</t>
  </si>
  <si>
    <t>SN02 04</t>
  </si>
  <si>
    <t>SN02 10</t>
  </si>
  <si>
    <t>SN02 20</t>
  </si>
  <si>
    <t>SN07 01</t>
  </si>
  <si>
    <t>SN07 04</t>
  </si>
  <si>
    <t>SN07 10</t>
  </si>
  <si>
    <t>SN07 20</t>
  </si>
  <si>
    <t>SN11 01</t>
  </si>
  <si>
    <t>SN11 04</t>
  </si>
  <si>
    <t>SN11 10</t>
  </si>
  <si>
    <t>SN11 20</t>
  </si>
  <si>
    <t>SN13 01</t>
  </si>
  <si>
    <t>SN13 04</t>
  </si>
  <si>
    <t>SN13 10</t>
  </si>
  <si>
    <t>SN15 01</t>
  </si>
  <si>
    <t>SN15 04</t>
  </si>
  <si>
    <t>SN15 10</t>
  </si>
  <si>
    <t>SN22 01</t>
  </si>
  <si>
    <t>SN22 04</t>
  </si>
  <si>
    <t>SN22 10</t>
  </si>
  <si>
    <t>SN22 20</t>
  </si>
  <si>
    <t>SOAP DISH (AC103)</t>
  </si>
  <si>
    <t>SOAP DISH (AC303)</t>
  </si>
  <si>
    <t>SOAP DISPENSER (JK)</t>
  </si>
  <si>
    <t>SOAP STONE POWDER (CHALK POWDER)</t>
  </si>
  <si>
    <t>SOAP STONE POWDER (CHALK POWDER) (SMALL)</t>
  </si>
  <si>
    <t>SOLVENT (JK)</t>
  </si>
  <si>
    <t>SPRAY PAINTS</t>
  </si>
  <si>
    <t>SPRIT (METHANOL) 01</t>
  </si>
  <si>
    <t>SPRIT (METHANOL) 05</t>
  </si>
  <si>
    <t>SQUARE JALI 6" (JK)</t>
  </si>
  <si>
    <t>SS 304 CONNECTION HOSE-18" (B2CH218)</t>
  </si>
  <si>
    <t>SS 304 CONNECTION HOSE-24" (B2CH224)</t>
  </si>
  <si>
    <t>ST URINAL U 22 W MEDIUM (UR-22-MS)</t>
  </si>
  <si>
    <t>STAFF DRESS &amp; UNIFORM</t>
  </si>
  <si>
    <t>STAIN BLACK 100</t>
  </si>
  <si>
    <t>STAIN CHARCOAL 250</t>
  </si>
  <si>
    <t>250ML</t>
  </si>
  <si>
    <t>STAIN CHARCOAL 50</t>
  </si>
  <si>
    <t>STAIN OAK YELLOW 100</t>
  </si>
  <si>
    <t>STAIN OAK YELLOW 250</t>
  </si>
  <si>
    <t>STAIN OAK YELLOW 50</t>
  </si>
  <si>
    <t>STAIN REDBROWN 250</t>
  </si>
  <si>
    <t>STAIN REDBROWN 50</t>
  </si>
  <si>
    <t>STAIN ROSEWOOD 250</t>
  </si>
  <si>
    <t>STAIN ROSEWOOD 50</t>
  </si>
  <si>
    <t>STAIN TEAK 250</t>
  </si>
  <si>
    <t>STAIN TEAK 50</t>
  </si>
  <si>
    <t>STAIN WALNUT 100</t>
  </si>
  <si>
    <t>STAIN WALNUT 250</t>
  </si>
  <si>
    <t>STAIN WALNUT 50</t>
  </si>
  <si>
    <t>STAIN WALNUT 500</t>
  </si>
  <si>
    <t>STEEL WOOL (BIG)</t>
  </si>
  <si>
    <t>STEEL WOOL (SMALL)</t>
  </si>
  <si>
    <t>STENCIL KIT BRICK</t>
  </si>
  <si>
    <t>STENCIL KIT BUTTERFLY</t>
  </si>
  <si>
    <t>STENCIL KIT CIRCLE</t>
  </si>
  <si>
    <t>STENCIL KIT DIA</t>
  </si>
  <si>
    <t>STENCIL KIT FERN</t>
  </si>
  <si>
    <t>STENCIL KIT FRAME</t>
  </si>
  <si>
    <t>STENCIL KIT LIPI</t>
  </si>
  <si>
    <t>STENCIL KIT MOON</t>
  </si>
  <si>
    <t>STENCIL KIT MUDRA</t>
  </si>
  <si>
    <t>STENCIL KIT RAGA</t>
  </si>
  <si>
    <t>STENCIL KIT ROSE</t>
  </si>
  <si>
    <t>STENCIL KIT SHADOW</t>
  </si>
  <si>
    <t>STENCIL KIT SPRING</t>
  </si>
  <si>
    <t>STENCIL KIT SPRING DIARIES</t>
  </si>
  <si>
    <t>STENCIL KIT WINDOW</t>
  </si>
  <si>
    <t>STENCIL KIT ZARI</t>
  </si>
  <si>
    <t>TA01 01</t>
  </si>
  <si>
    <t>TA01 04</t>
  </si>
  <si>
    <t>TA01 10</t>
  </si>
  <si>
    <t>TA01 20</t>
  </si>
  <si>
    <t>TAD01 01</t>
  </si>
  <si>
    <t>TAD01 05</t>
  </si>
  <si>
    <t>TAD01 10</t>
  </si>
  <si>
    <t>TAD01 20</t>
  </si>
  <si>
    <t>TAD06 01</t>
  </si>
  <si>
    <t>TAD06 05</t>
  </si>
  <si>
    <t>TAD06 10</t>
  </si>
  <si>
    <t>TAD06 20</t>
  </si>
  <si>
    <t>TAD10 01</t>
  </si>
  <si>
    <t>TAD10 05</t>
  </si>
  <si>
    <t>TAD10 10</t>
  </si>
  <si>
    <t>TAD10 20</t>
  </si>
  <si>
    <t>TARBRUSH</t>
  </si>
  <si>
    <t>TARPIN 0.3</t>
  </si>
  <si>
    <t>TARPIN OIL</t>
  </si>
  <si>
    <t>TARPIN OIL (SMALL) 0.3</t>
  </si>
  <si>
    <t>TARPIN OIL 0.5</t>
  </si>
  <si>
    <t>0.5LTR</t>
  </si>
  <si>
    <t>TARPIN OIL 1</t>
  </si>
  <si>
    <t>TARPIN OIL(LILAWATI)</t>
  </si>
  <si>
    <t>TE01 0.2</t>
  </si>
  <si>
    <t>TE01 01</t>
  </si>
  <si>
    <t>TE01 04</t>
  </si>
  <si>
    <t>TE01 10</t>
  </si>
  <si>
    <t>TE01 20</t>
  </si>
  <si>
    <t>TE06 0.2</t>
  </si>
  <si>
    <t>TE06 01</t>
  </si>
  <si>
    <t>TE06 04</t>
  </si>
  <si>
    <t>TE06 10</t>
  </si>
  <si>
    <t>11/15-10/YES</t>
  </si>
  <si>
    <t>TE06 20</t>
  </si>
  <si>
    <t>TE13 0.2</t>
  </si>
  <si>
    <t>TE13 01</t>
  </si>
  <si>
    <t>TE13 04</t>
  </si>
  <si>
    <t>TE13 10</t>
  </si>
  <si>
    <t>TE13 20</t>
  </si>
  <si>
    <t>TE15 0.2</t>
  </si>
  <si>
    <t>TE15 01</t>
  </si>
  <si>
    <t>TE15 04</t>
  </si>
  <si>
    <t>TE15 10</t>
  </si>
  <si>
    <t>TE20 0.2</t>
  </si>
  <si>
    <t>TE20 01</t>
  </si>
  <si>
    <t>TE20 04</t>
  </si>
  <si>
    <t>TE20 10</t>
  </si>
  <si>
    <t>TE20 20</t>
  </si>
  <si>
    <t>TE22 01</t>
  </si>
  <si>
    <t>TE22 04</t>
  </si>
  <si>
    <t>TE22 10</t>
  </si>
  <si>
    <t>TE22 20</t>
  </si>
  <si>
    <t>THINNER 01 (GURU)</t>
  </si>
  <si>
    <t>THINNER 01 (ICI/DUCO)</t>
  </si>
  <si>
    <t>THINNER 01 (MELAMINE)</t>
  </si>
  <si>
    <t>THINNER 01 (NC/SUNLAC)</t>
  </si>
  <si>
    <t>THINNER 01 (NIPPON)</t>
  </si>
  <si>
    <t>THINNER 01 (NITRO/RELIANCE)</t>
  </si>
  <si>
    <t>THINNER 01 (PACK/RETARDER)</t>
  </si>
  <si>
    <t>THINNER 01 (PU)</t>
  </si>
  <si>
    <t>THINNER 01 (WEMBLEY)</t>
  </si>
  <si>
    <t>THINNER LOOSE 01</t>
  </si>
  <si>
    <t>THINNER MELAMINE BRSH CLEAR 0.5</t>
  </si>
  <si>
    <t>TILE GUARD CLEAR 04</t>
  </si>
  <si>
    <t>TILE GUARD TG01 01</t>
  </si>
  <si>
    <t>TILE GUARD TG01 04</t>
  </si>
  <si>
    <t>TILE GUARD TG01 10</t>
  </si>
  <si>
    <t>TILE GUARD TG01 20</t>
  </si>
  <si>
    <t>TINGTING COLOURING</t>
  </si>
  <si>
    <t>TOILET PAPER HOLDER (AC106)</t>
  </si>
  <si>
    <t>TOUCH WOOD 0.2</t>
  </si>
  <si>
    <t>TOUCH WOOD 0.5</t>
  </si>
  <si>
    <t>TOUCH WOOD 0.5 (SUNLAC)</t>
  </si>
  <si>
    <t>TOUCH WOOD 01</t>
  </si>
  <si>
    <t>TOUCH WOOD 01 (SUNLAC)</t>
  </si>
  <si>
    <t>TOUCH WOOD 04</t>
  </si>
  <si>
    <t>TOWEL BRACKET (61CM) (AC108)</t>
  </si>
  <si>
    <t>TOWEL RING (AC102)</t>
  </si>
  <si>
    <t>TOWER ROD (JK)</t>
  </si>
  <si>
    <t>TRACTOR BLACK 0.5</t>
  </si>
  <si>
    <t>TRACTOR BLACK 01</t>
  </si>
  <si>
    <t>TRACTOR BLACK 04</t>
  </si>
  <si>
    <t>TRACTOR CHOCOLATE 0.5</t>
  </si>
  <si>
    <t>TRACTOR CHOCOLATE 01</t>
  </si>
  <si>
    <t>TRACTOR CHOCOLATE 04</t>
  </si>
  <si>
    <t>TRACTOR GOL BROWN 01</t>
  </si>
  <si>
    <t>TRACTOR LF BROWN 0.5</t>
  </si>
  <si>
    <t>TRACTOR LF BROWN 01</t>
  </si>
  <si>
    <t>TRACTOR LF BROWN 04</t>
  </si>
  <si>
    <t>TRACTOR PHIROZI 0.5</t>
  </si>
  <si>
    <t>TRACTOR PHIROZI 01</t>
  </si>
  <si>
    <t>TRACTOR SMOKE GREY 0.5</t>
  </si>
  <si>
    <t>TRACTOR SMOKE GREY 01</t>
  </si>
  <si>
    <t>TRACTOR WHITE 0.5</t>
  </si>
  <si>
    <t>TRACTOR WHITE 01</t>
  </si>
  <si>
    <t>TRACTOR WHITE 04</t>
  </si>
  <si>
    <t>TREY</t>
  </si>
  <si>
    <t>TUMBLER HOLDER/BP STAND (AC104)</t>
  </si>
  <si>
    <t>UB FULL PEDESTAL P 28 W (FP-28-X)</t>
  </si>
  <si>
    <t>UB TABLE TOP B 25 W (TT-25-X)</t>
  </si>
  <si>
    <t>UB TABLE TOP B 30 W (TT-30-X)</t>
  </si>
  <si>
    <t>UB WALL HUNG B 28 W (WM-28-X)</t>
  </si>
  <si>
    <t>UB WALL HUNG C 29 W P TRAP UF (WH-29-UF)</t>
  </si>
  <si>
    <t>UJ ONE PIECE 92 W S TRAP (OP-92-S)</t>
  </si>
  <si>
    <t>UJ ONE PIECE C 29 W S TRAP (FSCWUJS0229)</t>
  </si>
  <si>
    <t>ULTIMA CLEAR 01</t>
  </si>
  <si>
    <t>ULTIMA CLEAR 04</t>
  </si>
  <si>
    <t>ULTIMA CLEAR 10</t>
  </si>
  <si>
    <t>ULTIMA CLEAR 20</t>
  </si>
  <si>
    <t>ULTIMA GOLD 0.2</t>
  </si>
  <si>
    <t>ULTIMA METALIC GOLD 0.2</t>
  </si>
  <si>
    <t>ULTIMA METALLIC GOLD 01</t>
  </si>
  <si>
    <t>ULTIMA METALLIC SILVER 01</t>
  </si>
  <si>
    <t>11/15-22/NO 1/OVER</t>
  </si>
  <si>
    <t>UNION 1" (JK)</t>
  </si>
  <si>
    <t>UP01 01</t>
  </si>
  <si>
    <t>11/15-16/NO 2/OVER</t>
  </si>
  <si>
    <t>UP01 04</t>
  </si>
  <si>
    <t>UP01 10</t>
  </si>
  <si>
    <t>UP01 20</t>
  </si>
  <si>
    <t>UP10 01</t>
  </si>
  <si>
    <t>UP10 04</t>
  </si>
  <si>
    <t>UP10 10</t>
  </si>
  <si>
    <t>UP10 20</t>
  </si>
  <si>
    <t>UP13 01</t>
  </si>
  <si>
    <t>UP13 04</t>
  </si>
  <si>
    <t>UP13 10</t>
  </si>
  <si>
    <t>UP13 20</t>
  </si>
  <si>
    <t>UP16 01</t>
  </si>
  <si>
    <t>UP16 04</t>
  </si>
  <si>
    <t>UP16 20</t>
  </si>
  <si>
    <t>UP17 01</t>
  </si>
  <si>
    <t>UP17 04</t>
  </si>
  <si>
    <t>UP17 10</t>
  </si>
  <si>
    <t>UP17 20</t>
  </si>
  <si>
    <t>UP20 01</t>
  </si>
  <si>
    <t>UP20 04</t>
  </si>
  <si>
    <t>UP20 10</t>
  </si>
  <si>
    <t>UP20 20</t>
  </si>
  <si>
    <t>UPPER GR SLCD (GRDV202U)</t>
  </si>
  <si>
    <t>UPPER SLCD HF &amp; REG 40MM PUSH (PP331P)</t>
  </si>
  <si>
    <t>UPPER SLCD REG &amp; HF PUSH PULL (ALDV111U)</t>
  </si>
  <si>
    <t>UPPER SLCD REG &amp; HF PUSH PULL (INDV111U)</t>
  </si>
  <si>
    <t>UPPER SLCD REG &amp; HF PUSH TYPE (CLDV111U)</t>
  </si>
  <si>
    <t>URINAL BUTTON FLUSHER 1/2 (ATC03)</t>
  </si>
  <si>
    <t>VARNISH 0.2</t>
  </si>
  <si>
    <t>VARNISH 0.5</t>
  </si>
  <si>
    <t>VARNISH 01</t>
  </si>
  <si>
    <t>VARNISH 04</t>
  </si>
  <si>
    <t>VARNISH 20</t>
  </si>
  <si>
    <t>VITALIA 01</t>
  </si>
  <si>
    <t>VITALIA 05</t>
  </si>
  <si>
    <t>VITALIA NEO 01</t>
  </si>
  <si>
    <t>VITALIA NEO 05</t>
  </si>
  <si>
    <t>VITALIA NEO 10</t>
  </si>
  <si>
    <t>VITALIA NEO 20</t>
  </si>
  <si>
    <t>W/P 0.5</t>
  </si>
  <si>
    <t>W/P 0.5 (INDIGO)</t>
  </si>
  <si>
    <t>W/P 01</t>
  </si>
  <si>
    <t>W/P 01 (INDIGO)</t>
  </si>
  <si>
    <t>W/P 04</t>
  </si>
  <si>
    <t>W/P 04 (INDIGO)</t>
  </si>
  <si>
    <t>W/P 20</t>
  </si>
  <si>
    <t>WALL FASHION FLOWER POWER</t>
  </si>
  <si>
    <t>WALL FASHION FRENCH REVERIA</t>
  </si>
  <si>
    <t>WALL FASHION GYPSY BEADS</t>
  </si>
  <si>
    <t>WALL FASHION MORNING RAGA</t>
  </si>
  <si>
    <t>WALL FASHION SAFARI</t>
  </si>
  <si>
    <t>WALL FASHION SERENITY</t>
  </si>
  <si>
    <t>WALL FASHION SPRING DIARIES</t>
  </si>
  <si>
    <t>WALL FASHION STAR DUST</t>
  </si>
  <si>
    <t>WALL FASHION SUMMER BLOOM</t>
  </si>
  <si>
    <t>WALL FASHION SUN SPRAY</t>
  </si>
  <si>
    <t>WALL MIXER WPF OHS WITH CART (NEC10N)</t>
  </si>
  <si>
    <t>WALL PUTTY AP</t>
  </si>
  <si>
    <t>WALL PUTTY AP "INT"</t>
  </si>
  <si>
    <t>WALL PUTTY AP "K"</t>
  </si>
  <si>
    <t>WALL PUTTY AP BORA=20</t>
  </si>
  <si>
    <t>WALL PUTTY BIRLA BORA=40</t>
  </si>
  <si>
    <t>WALL PUTTY JK BORA=40</t>
  </si>
  <si>
    <t>WALLPAPER</t>
  </si>
  <si>
    <t>WALLPAPER SPL</t>
  </si>
  <si>
    <t>WASTE COUPLING 1.25 FT (NEW) (C2301)</t>
  </si>
  <si>
    <t>WASTE PIPE</t>
  </si>
  <si>
    <t>WATER PAPER / WATER KHAKSI / W.PAPER</t>
  </si>
  <si>
    <t>WATER PAPER / WATER KHAKSI / W.PAPER (RED)</t>
  </si>
  <si>
    <t>WHITE CEMENT 01 KG</t>
  </si>
  <si>
    <t>WHITE CEMENT 40K=BORA</t>
  </si>
  <si>
    <t>WHITE CEMENT 5K=BORA</t>
  </si>
  <si>
    <t>WM OHS WITH BP WF (P122)</t>
  </si>
  <si>
    <t>WM WPF OHS WITH BP &amp; WF (CLWM103)</t>
  </si>
  <si>
    <t>WM WPF OHS WITH BP &amp; WF (ELWM103)</t>
  </si>
  <si>
    <t>WM WPF OHS WITH BP &amp; WF (INWM103)</t>
  </si>
  <si>
    <t>WM WPF OHS WITH BP &amp; WF (SRWM103)</t>
  </si>
  <si>
    <t>WM WPF OHS WITH BP &amp; WF BIG (ALWM103N)</t>
  </si>
  <si>
    <t>WM WPF OHS WITH BP&amp;WF(NEW SPT) (BAWM101N)</t>
  </si>
  <si>
    <t>WM WPF OHS WITH BP&amp;WF(NEW SPT) (BAWM104N)</t>
  </si>
  <si>
    <t>WM WPF OHS WITH CARTRIDGE (PT10N)</t>
  </si>
  <si>
    <t>WM3-IN-1 WPF TS&amp;OHS WITH BPWF WITH CART (NEC09N)</t>
  </si>
  <si>
    <t>WMOHS (MYWM103)</t>
  </si>
  <si>
    <t>WMOHS (MYWM103N)</t>
  </si>
  <si>
    <t>WOOD FILLER (WHITE) AP</t>
  </si>
  <si>
    <t>WOOD FILLER TEAK 01 (RELIANCE)</t>
  </si>
  <si>
    <t>WOOD FILLER WALNUT 01 (RELIANCE)</t>
  </si>
  <si>
    <t>WOOD FILLER WHITE 01 (RELIANCE)</t>
  </si>
  <si>
    <t>WOOD GAINER</t>
  </si>
  <si>
    <t>WOOD STAINER 0.1</t>
  </si>
  <si>
    <t>WOOD STAINER 0.5</t>
  </si>
  <si>
    <t>WOOD STAINER 01</t>
  </si>
  <si>
    <t>WOOD STAINER BLACK 0.1 (RELIANCE)</t>
  </si>
  <si>
    <t>WOOD STAINER DARK WALNUT 0.1 (RELIANCE)</t>
  </si>
  <si>
    <t>WOOD STAINER FAIR WALNUT 0.1 (RELIANCE)</t>
  </si>
  <si>
    <t>WOOD STAINER MAHAGONY 0.1 (RELIANCE)</t>
  </si>
  <si>
    <t>WOOD STAINER ORANGE 0.1 (RELIANCE)</t>
  </si>
  <si>
    <t>WOOD STAINER ROSEWOOD 0.1 (RELIANCE)</t>
  </si>
  <si>
    <t>WOOD STAINER TEAK 0.1 (RELIANCE)</t>
  </si>
  <si>
    <t>WOOD STAINER YELLOW 0.1 (RELIANCE)</t>
  </si>
  <si>
    <t>WUDFIN CLEAR 0.5</t>
  </si>
  <si>
    <t>WUDFIN CLEAR 01</t>
  </si>
  <si>
    <t>YD FULL PEDESTAL X 29 W (FP-29-X)</t>
  </si>
  <si>
    <t>YD ONE PIECE C 55 W S TRAP (OP-55-S)</t>
  </si>
  <si>
    <t>YD ONE PIECE C 56 W S TRAP (OP-56-S)</t>
  </si>
  <si>
    <t>YD ONE PIECE C 57 W S TRAP (OP-57-S)</t>
  </si>
  <si>
    <t>YD ONE PIECE C 58 W S TRAP (OP-58-S)</t>
  </si>
  <si>
    <t>YD WALL HUNG B 29 W (WM-29-X)</t>
  </si>
  <si>
    <t>YD WALL HUNG B 31 W (WM-31-X)</t>
  </si>
  <si>
    <t>YTB 0.2</t>
  </si>
  <si>
    <t>YTB 01</t>
  </si>
  <si>
    <t>YTB 04</t>
  </si>
  <si>
    <t>YTB 10</t>
  </si>
  <si>
    <t>TA06 01</t>
  </si>
  <si>
    <t>TA06 04</t>
  </si>
  <si>
    <t>TA06 10</t>
  </si>
  <si>
    <t>TA06 20</t>
  </si>
  <si>
    <t>TA13 01</t>
  </si>
  <si>
    <t>TA13 04</t>
  </si>
  <si>
    <t>TA13 10</t>
  </si>
  <si>
    <t>TA13 20</t>
  </si>
  <si>
    <t>TA20 01</t>
  </si>
  <si>
    <t>TA20 04</t>
  </si>
  <si>
    <t>TA20 10</t>
  </si>
  <si>
    <t>TA20 20</t>
  </si>
  <si>
    <t>Calc</t>
  </si>
  <si>
    <t>Post</t>
  </si>
  <si>
    <t>PGE SKY BLUE</t>
  </si>
  <si>
    <t>Material Desc</t>
  </si>
  <si>
    <t>Lower limit</t>
  </si>
  <si>
    <t>CATEGORY</t>
  </si>
  <si>
    <t>Sanware Item name</t>
  </si>
  <si>
    <t>New Price</t>
  </si>
  <si>
    <t>Excise %</t>
  </si>
  <si>
    <t>Vat %</t>
  </si>
  <si>
    <t>Excise amt.</t>
  </si>
  <si>
    <t>Vat amt.</t>
  </si>
  <si>
    <t>Final DP With Excise &amp; Vat</t>
  </si>
  <si>
    <t>Discount %</t>
  </si>
  <si>
    <t>Dealer Margin</t>
  </si>
  <si>
    <t>Total Value after dealer margin</t>
  </si>
  <si>
    <t>Customer Discount</t>
  </si>
  <si>
    <t>MRP Raw</t>
  </si>
  <si>
    <t>Final MRP</t>
  </si>
  <si>
    <t>CONCEALED CISTERN &amp; PUSH PLATE FOR WALL HUNG COMMODE</t>
  </si>
  <si>
    <t>CC W/O FAME CONCEALED</t>
  </si>
  <si>
    <t>BS-CC-B1</t>
  </si>
  <si>
    <t>CONCEALED CISTERN</t>
  </si>
  <si>
    <t>CONCEALED CISTERN WITH FRAME</t>
  </si>
  <si>
    <t>BS-CC-B2</t>
  </si>
  <si>
    <t>CC SQUARE PLATE</t>
  </si>
  <si>
    <t>BS-PL-01</t>
  </si>
  <si>
    <t>PUSH PLATE FOR CONCEALED CISTERN</t>
  </si>
  <si>
    <t>CC ROUND PLATE</t>
  </si>
  <si>
    <t>BS-PL-02</t>
  </si>
  <si>
    <t>CC BLACK &amp; CHROME PLATE</t>
  </si>
  <si>
    <t>BS-PL-03</t>
  </si>
  <si>
    <t>CC MATT BLACK PLATE</t>
  </si>
  <si>
    <t>BS-MB-01</t>
  </si>
  <si>
    <t>ONE PIECE COMMODE</t>
  </si>
  <si>
    <t>PV One piece C 29 W S Trap</t>
  </si>
  <si>
    <t>OP-29-S</t>
  </si>
  <si>
    <t>ONE PIECE CLOSET</t>
  </si>
  <si>
    <t>INVICTUS</t>
  </si>
  <si>
    <t>UB One piece C 32 W S Trap</t>
  </si>
  <si>
    <t>OP-32-S</t>
  </si>
  <si>
    <t>DEON</t>
  </si>
  <si>
    <t>UB One piece C 37 W S Trap</t>
  </si>
  <si>
    <t>OP-37-S</t>
  </si>
  <si>
    <t>Colossus</t>
  </si>
  <si>
    <t>UJ One piece 92 W S Trap</t>
  </si>
  <si>
    <t>OP-92-S</t>
  </si>
  <si>
    <t>MAXIMUS</t>
  </si>
  <si>
    <t>YD One piece C 39 W S Trap</t>
  </si>
  <si>
    <t>OP-39-S</t>
  </si>
  <si>
    <t>Proton</t>
  </si>
  <si>
    <t>YD One piece C 53 W S Trap</t>
  </si>
  <si>
    <t>OP-53-S</t>
  </si>
  <si>
    <t>Infinite</t>
  </si>
  <si>
    <t>YD One piece C 55 W S Trap</t>
  </si>
  <si>
    <t>OP-55-S</t>
  </si>
  <si>
    <t>YD One piece C 56 W S Trap</t>
  </si>
  <si>
    <t>OP-56-S</t>
  </si>
  <si>
    <t>Trend</t>
  </si>
  <si>
    <t>UJ One piece C 29 W S Trap</t>
  </si>
  <si>
    <t>OP-29-SN</t>
  </si>
  <si>
    <t>PROTON</t>
  </si>
  <si>
    <t>YD One piece C 57 W S Trap</t>
  </si>
  <si>
    <t>OP-57-S</t>
  </si>
  <si>
    <t>YD One piece C 58 W S Trap</t>
  </si>
  <si>
    <t>OP-58-S</t>
  </si>
  <si>
    <t>WALL HUNG COMMODE</t>
  </si>
  <si>
    <t>BF Wall Hung C 32 W P Trap</t>
  </si>
  <si>
    <t>WH-32-P</t>
  </si>
  <si>
    <t>UB Wall Hung C 24 W P Trap</t>
  </si>
  <si>
    <t>WH-24-P</t>
  </si>
  <si>
    <t>MYSTIC</t>
  </si>
  <si>
    <t>UB Wall Hung C 29 W P Trap UF</t>
  </si>
  <si>
    <t>WH-29-UF</t>
  </si>
  <si>
    <t>UJ Wall Hung 94 W P Trap</t>
  </si>
  <si>
    <t>WH-94-P</t>
  </si>
  <si>
    <t>ARTISAN</t>
  </si>
  <si>
    <t>UJ Wall Hung 95 W P Trap</t>
  </si>
  <si>
    <t>WH-95-P</t>
  </si>
  <si>
    <t>TIMELESS</t>
  </si>
  <si>
    <t>UJ Wall Hung 97 W P Trap</t>
  </si>
  <si>
    <t>WH-97-P</t>
  </si>
  <si>
    <t>ALTIUS</t>
  </si>
  <si>
    <t>YD Wall Hung C 19 W P Trap</t>
  </si>
  <si>
    <t>WH-19-P</t>
  </si>
  <si>
    <t>Primus</t>
  </si>
  <si>
    <t>YD Wall Hung C 27 W P Trap</t>
  </si>
  <si>
    <t>WH-27-P</t>
  </si>
  <si>
    <t>YD Wall Hung C 31 W P Trap</t>
  </si>
  <si>
    <t>WH-31-P</t>
  </si>
  <si>
    <t>Mystic</t>
  </si>
  <si>
    <t>YD Wall Hung C 35 W P Trap</t>
  </si>
  <si>
    <t>WH-35-P</t>
  </si>
  <si>
    <t>YD Wall Hung C 36 W P Trap</t>
  </si>
  <si>
    <t>WH-36-P</t>
  </si>
  <si>
    <t>Invictus</t>
  </si>
  <si>
    <t>CANVAS</t>
  </si>
  <si>
    <t>JJ Wall Hung 70 B P Trap</t>
  </si>
  <si>
    <t>WH-70-BLK</t>
  </si>
  <si>
    <t>Canvas</t>
  </si>
  <si>
    <t>JJ Wall Hung 90 B P Trap</t>
  </si>
  <si>
    <t>WH-90-BLK</t>
  </si>
  <si>
    <t>JJ Wall Hung 91 B P Trap</t>
  </si>
  <si>
    <t>WH-91-BLK</t>
  </si>
  <si>
    <t>Evania</t>
  </si>
  <si>
    <t>JJ Wall Hung 92 B P Trap</t>
  </si>
  <si>
    <t>WH-92-BLK</t>
  </si>
  <si>
    <t>Serene</t>
  </si>
  <si>
    <t>JJ Wall Hung 70 G P Trap</t>
  </si>
  <si>
    <t>WH-70-GRE</t>
  </si>
  <si>
    <t>JJ Wall Hung 70 L P Trap</t>
  </si>
  <si>
    <t>WH-70-BGE</t>
  </si>
  <si>
    <t>JJ Table Top 70 B</t>
  </si>
  <si>
    <t>TT-70-BLK</t>
  </si>
  <si>
    <t>TABLE TOP BASIN CANVAS</t>
  </si>
  <si>
    <t>JJ Table Top 72 B</t>
  </si>
  <si>
    <t>TT-72-BLK</t>
  </si>
  <si>
    <t>JJ Table Top 73 B</t>
  </si>
  <si>
    <t>TT-73-BLK</t>
  </si>
  <si>
    <t>JJ Table Top 70 G</t>
  </si>
  <si>
    <t>TT-70-GRE</t>
  </si>
  <si>
    <t>JJ Table Top 72 G</t>
  </si>
  <si>
    <t>TT-72-GRE</t>
  </si>
  <si>
    <t>JJ Table Top 73 G</t>
  </si>
  <si>
    <t>TT-73-GRE</t>
  </si>
  <si>
    <t>JJ Table Top 70 L</t>
  </si>
  <si>
    <t>TT-70-BGE</t>
  </si>
  <si>
    <t>JJ Table Top 72 L</t>
  </si>
  <si>
    <t>TT-72-BGE</t>
  </si>
  <si>
    <t>JJ Table Top 73 L</t>
  </si>
  <si>
    <t>TT-73-BGE</t>
  </si>
  <si>
    <t>URINALS</t>
  </si>
  <si>
    <t>BP SNU CONCEALED SENSOR - URINAL</t>
  </si>
  <si>
    <t>SNU-25-X</t>
  </si>
  <si>
    <t>URINAL SENSOR</t>
  </si>
  <si>
    <t>Timless</t>
  </si>
  <si>
    <t>UB SENSOR URINAL 24 W  MEDIUM</t>
  </si>
  <si>
    <t>URS-24-M</t>
  </si>
  <si>
    <t>URINAL</t>
  </si>
  <si>
    <t>Proton UR</t>
  </si>
  <si>
    <t>PV URINAL U 22 W  MEDIUM</t>
  </si>
  <si>
    <t>UR-22-M</t>
  </si>
  <si>
    <t>Contemporary</t>
  </si>
  <si>
    <t>ST URINAL U 22 W  MEDIUM</t>
  </si>
  <si>
    <t>UR-22-MS</t>
  </si>
  <si>
    <t>CONTEMPORARY UR</t>
  </si>
  <si>
    <t>UB URINAL U 21 LS  LARGE</t>
  </si>
  <si>
    <t>UR-21-LS</t>
  </si>
  <si>
    <t>DEON URS</t>
  </si>
  <si>
    <t>UB URINAL U 21 W  SMALL</t>
  </si>
  <si>
    <t>UR-21-S</t>
  </si>
  <si>
    <t>TREND UR</t>
  </si>
  <si>
    <t>YD URINAL U 21 W  LARGE</t>
  </si>
  <si>
    <t>UR-21-L</t>
  </si>
  <si>
    <t>DEON UR</t>
  </si>
  <si>
    <t>WALL HUNG BASIN &amp; FULL PEDESTAL</t>
  </si>
  <si>
    <t>PV Wall Hung B 21 W</t>
  </si>
  <si>
    <t>WM-21-X</t>
  </si>
  <si>
    <t>WALL HUNG BASIN</t>
  </si>
  <si>
    <t>PV Wall Hung B 27 W</t>
  </si>
  <si>
    <t>WM-27-X</t>
  </si>
  <si>
    <t>\</t>
  </si>
  <si>
    <t>UB Wall Hung B 28 W</t>
  </si>
  <si>
    <t>WM-28-X</t>
  </si>
  <si>
    <t>CONTEMPORARY</t>
  </si>
  <si>
    <t>YD Wall Hung B 31 W</t>
  </si>
  <si>
    <t>WM-31-X</t>
  </si>
  <si>
    <t>PV Full Pedestal P 23 W</t>
  </si>
  <si>
    <t>FP-23-X</t>
  </si>
  <si>
    <t>FULL PEDESTAL</t>
  </si>
  <si>
    <t>SERENE</t>
  </si>
  <si>
    <t>UB Full Pedestal P 28 W</t>
  </si>
  <si>
    <t>FP-28-X</t>
  </si>
  <si>
    <t>YD Wall Hung B 29 W</t>
  </si>
  <si>
    <t>WM-29-X</t>
  </si>
  <si>
    <t>PV Full Pedestal S 23 W</t>
  </si>
  <si>
    <t>FP-23-S</t>
  </si>
  <si>
    <t>YD Full Pedestal X 29 W</t>
  </si>
  <si>
    <t>FP-29-X</t>
  </si>
  <si>
    <t>TABLE TOP BASIN</t>
  </si>
  <si>
    <t>HC Table Top 33 W</t>
  </si>
  <si>
    <t>TT-33-X</t>
  </si>
  <si>
    <t>PV Table Top 32 W</t>
  </si>
  <si>
    <t>TT-32-X</t>
  </si>
  <si>
    <t>ARTISAN D</t>
  </si>
  <si>
    <t>ST Table Top 34 W</t>
  </si>
  <si>
    <t>TT-34-X</t>
  </si>
  <si>
    <t>Maximus</t>
  </si>
  <si>
    <t>UB Table Top B 25 W</t>
  </si>
  <si>
    <t>TT-25-X</t>
  </si>
  <si>
    <t>EVANIA</t>
  </si>
  <si>
    <t>UB Table Top B 30 W</t>
  </si>
  <si>
    <t>TT-30-X</t>
  </si>
  <si>
    <t>UJ Table Top 43 W</t>
  </si>
  <si>
    <t>TT-43-X</t>
  </si>
  <si>
    <t>YD Table Top B 22 W</t>
  </si>
  <si>
    <t>TT-22-X</t>
  </si>
  <si>
    <t>YD Table Top B 23 W</t>
  </si>
  <si>
    <t>TT-23-X</t>
  </si>
  <si>
    <t>OVER COUNTER BASIN</t>
  </si>
  <si>
    <t>DS OC C 21 W X Trap</t>
  </si>
  <si>
    <t>OC-21-X</t>
  </si>
  <si>
    <t>DS OC C 22 W X Trap</t>
  </si>
  <si>
    <t>OC-22-X</t>
  </si>
  <si>
    <t>UNDER COUNTER BASIN</t>
  </si>
  <si>
    <t>YD Under counter B 22 W</t>
  </si>
  <si>
    <t>UC-22-X</t>
  </si>
  <si>
    <t>YD Under counter B 24 W</t>
  </si>
  <si>
    <t>UC-24-X</t>
  </si>
  <si>
    <t>INTEGRETED BASIN</t>
  </si>
  <si>
    <t>UB Integrated B 21 W</t>
  </si>
  <si>
    <t>IC-21-X</t>
  </si>
  <si>
    <t>UB Integrated B 22 W</t>
  </si>
  <si>
    <t>IC-22-X</t>
  </si>
  <si>
    <t>CP</t>
  </si>
  <si>
    <t>Total Price</t>
  </si>
  <si>
    <t>Round Up</t>
  </si>
  <si>
    <t>FRENCH GOLD</t>
  </si>
  <si>
    <t>ANGLE COCK WITH WF French Gold</t>
  </si>
  <si>
    <t>GDALAC101</t>
  </si>
  <si>
    <t>BIB COCK WITH WF French Gold</t>
  </si>
  <si>
    <t>GDALBC101</t>
  </si>
  <si>
    <t>BIB COCK 2-IN-1 WITH WF French Gold</t>
  </si>
  <si>
    <t>GDALBC102</t>
  </si>
  <si>
    <t>SLBM W/O PWS French Gold</t>
  </si>
  <si>
    <t>GDALBM101</t>
  </si>
  <si>
    <t>SLBM EXTENDED French Gold</t>
  </si>
  <si>
    <t>GDALBM102</t>
  </si>
  <si>
    <t>UPPER SLCD FOR BASIN SPOUT French Gold</t>
  </si>
  <si>
    <t>GDALDV103U</t>
  </si>
  <si>
    <t>UPPER SLCD HF PUSH French Gold</t>
  </si>
  <si>
    <t>GDALDV111U</t>
  </si>
  <si>
    <t>BT PLAIN SPOUT French Gold</t>
  </si>
  <si>
    <t>GDALSP101</t>
  </si>
  <si>
    <t>BODY SLCD B. SPOUT NEW (CASTED) French G</t>
  </si>
  <si>
    <t>GDB2BD101</t>
  </si>
  <si>
    <t>BODY ROYALE INSPIRE SLCD HF French Gold</t>
  </si>
  <si>
    <t>GDB2DV202</t>
  </si>
  <si>
    <t>9 inch OHS Round French Gold</t>
  </si>
  <si>
    <t>GDBHRF101</t>
  </si>
  <si>
    <t>9 inch OHS Square French Gold</t>
  </si>
  <si>
    <t>GDBHRF102</t>
  </si>
  <si>
    <t>4.5 inch HS Round French Gold</t>
  </si>
  <si>
    <t>GDBHTS101</t>
  </si>
  <si>
    <t>4.5 inch HS Square French Gold</t>
  </si>
  <si>
    <t>GDBHTS102</t>
  </si>
  <si>
    <t>GDMYAC101</t>
  </si>
  <si>
    <t>BIB COCK French Gold</t>
  </si>
  <si>
    <t>GDMYBC101</t>
  </si>
  <si>
    <t>BIB COCK 2-IN-1 French Gold</t>
  </si>
  <si>
    <t>GDMYBC102</t>
  </si>
  <si>
    <t>SLBM French Gold</t>
  </si>
  <si>
    <t>GDMYBM101</t>
  </si>
  <si>
    <t>BASIN SPOUT DIVERTER UPPER French Gold</t>
  </si>
  <si>
    <t>GDMYDV103U</t>
  </si>
  <si>
    <t>DIVERTER UPPER HF &amp; REG PUSH French Gold</t>
  </si>
  <si>
    <t>GDMYDV111U</t>
  </si>
  <si>
    <t>PLAIN SPOUT French Gold</t>
  </si>
  <si>
    <t>GDMYSP101</t>
  </si>
  <si>
    <t>BUTTON  SPOUT French Gold</t>
  </si>
  <si>
    <t>GDMYSP102</t>
  </si>
  <si>
    <t>15" RFS arm round New French Gold</t>
  </si>
  <si>
    <t>GDSA105N</t>
  </si>
  <si>
    <t>18" RFS arm round New French Gold</t>
  </si>
  <si>
    <t>GDSA107N</t>
  </si>
  <si>
    <t>MAT BLACK</t>
  </si>
  <si>
    <t>ANGLE COCK WITH WF Black</t>
  </si>
  <si>
    <t>MBALAC101</t>
  </si>
  <si>
    <t>BIB COCK WITH WF Black</t>
  </si>
  <si>
    <t>MBALBC101</t>
  </si>
  <si>
    <t>BIB COCK 2-IN-1 WITH WF Black</t>
  </si>
  <si>
    <t>MBALBC102</t>
  </si>
  <si>
    <t>SLBM W/O PWS Black</t>
  </si>
  <si>
    <t>MBALBM101</t>
  </si>
  <si>
    <t>SLBM EXTENDED Black</t>
  </si>
  <si>
    <t>MBALBM102</t>
  </si>
  <si>
    <t>UPPER SLCD FOR BASIN SPOUT Black</t>
  </si>
  <si>
    <t>MBALDV103U</t>
  </si>
  <si>
    <t>UPPER SLCD HF PUSH Black</t>
  </si>
  <si>
    <t>MBALDV111U</t>
  </si>
  <si>
    <t>BT PLAIN SPOUT Black</t>
  </si>
  <si>
    <t>MBALSP101</t>
  </si>
  <si>
    <t>BUTTON  SPOUT Black</t>
  </si>
  <si>
    <t>MBALSP102</t>
  </si>
  <si>
    <t>BODY SLCD B. SPOUT NEW (CASTED) Black</t>
  </si>
  <si>
    <t>MBB2BD101</t>
  </si>
  <si>
    <t>BODY ROYALE INSPIRE SLCD HF Black</t>
  </si>
  <si>
    <t>MBB2DV202</t>
  </si>
  <si>
    <t>9 inch OHS Round Matt Black</t>
  </si>
  <si>
    <t>MBBHRF101</t>
  </si>
  <si>
    <t>9 inch OHS Square Matt Black</t>
  </si>
  <si>
    <t>MBBHRF102</t>
  </si>
  <si>
    <t>4.5 inch HS Round Matt Black</t>
  </si>
  <si>
    <t>MBBHTS101</t>
  </si>
  <si>
    <t>4.5 inch HS Square Matt Black</t>
  </si>
  <si>
    <t>MBBHTS102</t>
  </si>
  <si>
    <t>MBMYAC101</t>
  </si>
  <si>
    <t>BIB COCK Black</t>
  </si>
  <si>
    <t>MBMYBC101</t>
  </si>
  <si>
    <t>BIB COCK 2-IN-1 Black</t>
  </si>
  <si>
    <t>MBMYBC102</t>
  </si>
  <si>
    <t>SLBM Black</t>
  </si>
  <si>
    <t>MBMYBM101</t>
  </si>
  <si>
    <t>SLBM EB Black</t>
  </si>
  <si>
    <t>MBMYBM102</t>
  </si>
  <si>
    <t>BASIN SPOUT DIVERTER UPPER Black</t>
  </si>
  <si>
    <t>MBMYDV103U</t>
  </si>
  <si>
    <t>DIVERTER UPPER HF &amp; REG PUSH Black</t>
  </si>
  <si>
    <t>MBMYDV111U</t>
  </si>
  <si>
    <t>PLAIN SPOUT Black</t>
  </si>
  <si>
    <t>MBMYSP101</t>
  </si>
  <si>
    <t>MBMYSP102</t>
  </si>
  <si>
    <t>15" RFS arm round New Black</t>
  </si>
  <si>
    <t>MBSA105N</t>
  </si>
  <si>
    <t>15" RFS arm square Black</t>
  </si>
  <si>
    <t>MBSA106N</t>
  </si>
  <si>
    <t>18" RFS arm round New Black</t>
  </si>
  <si>
    <t>MBSA107N</t>
  </si>
  <si>
    <t>MAT RED</t>
  </si>
  <si>
    <t>ANGLE COCK WITH WF Red</t>
  </si>
  <si>
    <t>RDALAC101</t>
  </si>
  <si>
    <t>BIB COCK WITH WF Red</t>
  </si>
  <si>
    <t>RDALBC101</t>
  </si>
  <si>
    <t>BIB COCK 2-IN-1 WITH WF Red</t>
  </si>
  <si>
    <t>RDALBC102</t>
  </si>
  <si>
    <t>SLBM W/O PWS Red</t>
  </si>
  <si>
    <t>RDALBM101</t>
  </si>
  <si>
    <t>SLBM EXTENDED Red</t>
  </si>
  <si>
    <t>RDALBM102</t>
  </si>
  <si>
    <t>UPPER SLCD FOR BASIN SPOUT Red</t>
  </si>
  <si>
    <t>RDALDV103U</t>
  </si>
  <si>
    <t>UPPER SLCD HF PUSH Red</t>
  </si>
  <si>
    <t>RDALDV111U</t>
  </si>
  <si>
    <t>BT PLAIN SPOUT Red</t>
  </si>
  <si>
    <t>RDALSP101</t>
  </si>
  <si>
    <t>BUTTON  SPOUT Red</t>
  </si>
  <si>
    <t>RDALSP102</t>
  </si>
  <si>
    <t>BODY SLCD B. SPOUT NEW (CASTED) Red</t>
  </si>
  <si>
    <t>RDB2BD101</t>
  </si>
  <si>
    <t>BODY ROYALE INSPIRE SLCD HF Red</t>
  </si>
  <si>
    <t>RDB2DV202</t>
  </si>
  <si>
    <t>RDMYAC101</t>
  </si>
  <si>
    <t>BIB COCK Red</t>
  </si>
  <si>
    <t>RDMYBC101</t>
  </si>
  <si>
    <t>BIB COCK 2-IN-1 Red</t>
  </si>
  <si>
    <t>RDMYBC102</t>
  </si>
  <si>
    <t>SLBM Red</t>
  </si>
  <si>
    <t>RDMYBM101</t>
  </si>
  <si>
    <t>BASIN SPOUT DIVERTER UPPER Red</t>
  </si>
  <si>
    <t>RDMYDV103U</t>
  </si>
  <si>
    <t>DIVERTER UPPER HF &amp; REG PUSH Red</t>
  </si>
  <si>
    <t>RDMYDV111U</t>
  </si>
  <si>
    <t>PLAIN SPOUT Red</t>
  </si>
  <si>
    <t>RDMYSP101</t>
  </si>
  <si>
    <t>RDMYSP102</t>
  </si>
  <si>
    <t>ROSE GOLD</t>
  </si>
  <si>
    <t>ANGLE COCK WITH WF Rose Gold</t>
  </si>
  <si>
    <t>RGALAC101</t>
  </si>
  <si>
    <t>BIB COCK WITH WF Rose Gold</t>
  </si>
  <si>
    <t>RGALBC101</t>
  </si>
  <si>
    <t>BIB COCK 2-IN-1 WITH WF Rose Gold</t>
  </si>
  <si>
    <t>RGALBC102</t>
  </si>
  <si>
    <t>SLBM W/O PWS Rose Gold</t>
  </si>
  <si>
    <t>RGALBM101</t>
  </si>
  <si>
    <t>SLBM EXTENDED Rose Gold</t>
  </si>
  <si>
    <t>RGALBM102</t>
  </si>
  <si>
    <t>UPPER SLCD FOR BASIN SPOUT Rose Gold</t>
  </si>
  <si>
    <t>RGALDV103U</t>
  </si>
  <si>
    <t>UPPER SLCD HF PUSH Rose Gold</t>
  </si>
  <si>
    <t>RGALDV111U</t>
  </si>
  <si>
    <t>BT PLAIN SPOUT Rose Gold</t>
  </si>
  <si>
    <t>RGALSP101</t>
  </si>
  <si>
    <t>BUTTON  SPOUT Rose Gold</t>
  </si>
  <si>
    <t>RGALSP102</t>
  </si>
  <si>
    <t>BODY SLCD B. SPOUT NEW (CASTED) Rose Gol</t>
  </si>
  <si>
    <t>RGB2BD101</t>
  </si>
  <si>
    <t>BODY ROYALE INSPIRE SLCD HF Rose Gold</t>
  </si>
  <si>
    <t>RGB2DV202</t>
  </si>
  <si>
    <t>9 inch OHS Round Rose Gold</t>
  </si>
  <si>
    <t>RGBHRF101</t>
  </si>
  <si>
    <t>9 inch OHS Square Rose Gold</t>
  </si>
  <si>
    <t>RGBHRF102</t>
  </si>
  <si>
    <t>4.5 inch HS Round Rose Gold</t>
  </si>
  <si>
    <t>RGBHTS101</t>
  </si>
  <si>
    <t>4.5 inch HS Square Rose Gold</t>
  </si>
  <si>
    <t>RGBHTS102</t>
  </si>
  <si>
    <t>RGMYAC101</t>
  </si>
  <si>
    <t>BIB COCK Rose Gold</t>
  </si>
  <si>
    <t>RGMYBC101</t>
  </si>
  <si>
    <t>BIB COCK 2-IN-1 Rose Gold</t>
  </si>
  <si>
    <t>RGMYBC102</t>
  </si>
  <si>
    <t>SLBM Rose Gold</t>
  </si>
  <si>
    <t>RGMYBM101</t>
  </si>
  <si>
    <t>BASIN SPOUT DIVERTER UPPER Rose Gold</t>
  </si>
  <si>
    <t>RGMYDV103U</t>
  </si>
  <si>
    <t>DIVERTER UPPER HF &amp; REG PUSH Rose Gold</t>
  </si>
  <si>
    <t>RGMYDV111U</t>
  </si>
  <si>
    <t>PLAIN SPOUT Rose Gold</t>
  </si>
  <si>
    <t>RGMYSP101</t>
  </si>
  <si>
    <t>RGMYSP102</t>
  </si>
  <si>
    <t>15" RFS arm round New Rose Gold</t>
  </si>
  <si>
    <t>RGSA105N</t>
  </si>
  <si>
    <t>18" RFS arm round New Rose Gold</t>
  </si>
  <si>
    <t>RGSA107N</t>
  </si>
  <si>
    <t>BATHSENSE-SENSOR</t>
  </si>
  <si>
    <t>BS SENSOR AERATOR</t>
  </si>
  <si>
    <t>BSSE101</t>
  </si>
  <si>
    <t>SENSOR FAUCET TABLE MOUNTED</t>
  </si>
  <si>
    <t>BSSF102</t>
  </si>
  <si>
    <t>BSSF104</t>
  </si>
  <si>
    <t>ROYALE-SENSORS</t>
  </si>
  <si>
    <t>SENSOR BASIN TAP RESF101</t>
  </si>
  <si>
    <t>RESF101</t>
  </si>
  <si>
    <t>SENSOR BASIN TAP RESF103</t>
  </si>
  <si>
    <t>RESF103</t>
  </si>
  <si>
    <t>AUTOCLOSE-TAP</t>
  </si>
  <si>
    <t>AUTO CLOSE PILLAR COCK</t>
  </si>
  <si>
    <t>ATC01</t>
  </si>
  <si>
    <t>AUTOCLOSE TAP</t>
  </si>
  <si>
    <t>AUTO CLOSE BIB COCK</t>
  </si>
  <si>
    <t>ATC02</t>
  </si>
  <si>
    <t>URINAL BUTTON FLUSHER 1/2"</t>
  </si>
  <si>
    <t>ATC03</t>
  </si>
  <si>
    <t>GOLD RUSH</t>
  </si>
  <si>
    <t>SLBM W/O PWS</t>
  </si>
  <si>
    <t>GRBM101</t>
  </si>
  <si>
    <t>BODY GR SLCD HIGH FLOW</t>
  </si>
  <si>
    <t>GRDV202</t>
  </si>
  <si>
    <t>UPPER GR SLCD</t>
  </si>
  <si>
    <t>GRDV202U</t>
  </si>
  <si>
    <t>GR PLAIN BATH SPT</t>
  </si>
  <si>
    <t>GRSP101</t>
  </si>
  <si>
    <t>GR BUTTON SPOUT</t>
  </si>
  <si>
    <t>GRSP102</t>
  </si>
  <si>
    <t>SLWM WITH TSA ONLY</t>
  </si>
  <si>
    <t>GRWM203</t>
  </si>
  <si>
    <t>ROYALE ROUND AC GDFL</t>
  </si>
  <si>
    <t>REAC701</t>
  </si>
  <si>
    <t>9 INCH SQUARE GOLD CLR SHOWER</t>
  </si>
  <si>
    <t>RSRF702</t>
  </si>
  <si>
    <t>15'' RFS ARM ROUND GOLD</t>
  </si>
  <si>
    <t>RSSA715</t>
  </si>
  <si>
    <t>5 INCH WHITE GOLD HAND SHOWER</t>
  </si>
  <si>
    <t>RSTS202</t>
  </si>
  <si>
    <t>PEARL GLORY</t>
  </si>
  <si>
    <t>PG BIB COCK 2-IN-1</t>
  </si>
  <si>
    <t>PGBC102</t>
  </si>
  <si>
    <t>PGBM101</t>
  </si>
  <si>
    <t>SLCD for Basin Spout</t>
  </si>
  <si>
    <t>PGDV101</t>
  </si>
  <si>
    <t>BODY PG SS SLCD HIGH FLOW</t>
  </si>
  <si>
    <t>PGDV202</t>
  </si>
  <si>
    <t>UPPER PG SLCD</t>
  </si>
  <si>
    <t>PGDV202U</t>
  </si>
  <si>
    <t>SL SINK MIXER TM</t>
  </si>
  <si>
    <t>PGSM401</t>
  </si>
  <si>
    <t>PG PLAIN BATH SPT</t>
  </si>
  <si>
    <t>PGSP101</t>
  </si>
  <si>
    <t>PG BUTTON SPOUT</t>
  </si>
  <si>
    <t>PGSP102</t>
  </si>
  <si>
    <t>PGWM203</t>
  </si>
  <si>
    <t>DIMANTA</t>
  </si>
  <si>
    <t>DI BIB COCK 2-IN-1</t>
  </si>
  <si>
    <t>DIBC102</t>
  </si>
  <si>
    <t>DIBM101</t>
  </si>
  <si>
    <t>DIDV101</t>
  </si>
  <si>
    <t>BODY DI SLCD HIGH FLOW</t>
  </si>
  <si>
    <t>DIDV202</t>
  </si>
  <si>
    <t>UPPER DI SLCD</t>
  </si>
  <si>
    <t>DIDV202U</t>
  </si>
  <si>
    <t>DISM401</t>
  </si>
  <si>
    <t>DI PLAIN BATH SPT</t>
  </si>
  <si>
    <t>DISP101</t>
  </si>
  <si>
    <t>DIWM203</t>
  </si>
  <si>
    <t>MANHATTAN</t>
  </si>
  <si>
    <t>ANGLE COCK WITH WF</t>
  </si>
  <si>
    <t>MAAC101N</t>
  </si>
  <si>
    <t>Bib cock with WF</t>
  </si>
  <si>
    <t>MABC101</t>
  </si>
  <si>
    <t>LONG BODY BIB COCK (FF) WF</t>
  </si>
  <si>
    <t>MABC102</t>
  </si>
  <si>
    <t>MABM101</t>
  </si>
  <si>
    <t>SLBM EB W/O PWS</t>
  </si>
  <si>
    <t>MABM103</t>
  </si>
  <si>
    <t>UPPER SLCD FOR BASIN SPOUT NEW</t>
  </si>
  <si>
    <t>MADV102S</t>
  </si>
  <si>
    <t>UPPER SLCD HIGH FLOW</t>
  </si>
  <si>
    <t>MADV202U</t>
  </si>
  <si>
    <t>Pillar cock</t>
  </si>
  <si>
    <t>MAPC101</t>
  </si>
  <si>
    <t>SINK COCK WM WITH RSS &amp; WF</t>
  </si>
  <si>
    <t>MASC101</t>
  </si>
  <si>
    <t>SL SINK MIXER SS (TM)</t>
  </si>
  <si>
    <t>MASM401</t>
  </si>
  <si>
    <t>BTS WITH WF</t>
  </si>
  <si>
    <t>MASP101N</t>
  </si>
  <si>
    <t>BTS WITH WF NEW</t>
  </si>
  <si>
    <t>MASP101S</t>
  </si>
  <si>
    <t>SLWM WITH BEND PIPE</t>
  </si>
  <si>
    <t>MAWM204</t>
  </si>
  <si>
    <t>OBELISK</t>
  </si>
  <si>
    <t>OBAC101</t>
  </si>
  <si>
    <t>BIB COCK WITH WF</t>
  </si>
  <si>
    <t>OBBC101</t>
  </si>
  <si>
    <t>BIB COCK 2-IN-1 WITH WF</t>
  </si>
  <si>
    <t>OBBC102</t>
  </si>
  <si>
    <t>SLBM W/0 PWS</t>
  </si>
  <si>
    <t>OBBM101</t>
  </si>
  <si>
    <t>SLCD Upper Basin Spout</t>
  </si>
  <si>
    <t>OBDV102U</t>
  </si>
  <si>
    <t>SLCD UPPER HIGH FLOW</t>
  </si>
  <si>
    <t>OBDV202U</t>
  </si>
  <si>
    <t>PILLAR COCK</t>
  </si>
  <si>
    <t>OBPC101</t>
  </si>
  <si>
    <t>OBSC101</t>
  </si>
  <si>
    <t>SL SINK MIXER (TM)</t>
  </si>
  <si>
    <t>OBSM401</t>
  </si>
  <si>
    <t>OBSP101</t>
  </si>
  <si>
    <t>BTS WITH BUTTON ATT</t>
  </si>
  <si>
    <t>OBSP102</t>
  </si>
  <si>
    <t>SLWM WITH TSA</t>
  </si>
  <si>
    <t>OBWM101</t>
  </si>
  <si>
    <t>WM WPF OHS WITH BP&amp;WF</t>
  </si>
  <si>
    <t>OBWM103</t>
  </si>
  <si>
    <t>WM 3-IN-1 WPF TS&amp;OHS WITH BPWF</t>
  </si>
  <si>
    <t>OBWM104</t>
  </si>
  <si>
    <t>TWIST</t>
  </si>
  <si>
    <t>TWAC101</t>
  </si>
  <si>
    <t>TWBM101</t>
  </si>
  <si>
    <t>TWBM102</t>
  </si>
  <si>
    <t>TWDV102U</t>
  </si>
  <si>
    <t>SLCD UPPER REG &amp; HF</t>
  </si>
  <si>
    <t>TWDV202U</t>
  </si>
  <si>
    <t>TWPC101</t>
  </si>
  <si>
    <t>TWSP102</t>
  </si>
  <si>
    <t>TWWM101</t>
  </si>
  <si>
    <t>TWWM103</t>
  </si>
  <si>
    <t>TWWM104</t>
  </si>
  <si>
    <t>SPRINGBOARD</t>
  </si>
  <si>
    <t>SRAC101</t>
  </si>
  <si>
    <t>SRBM101</t>
  </si>
  <si>
    <t>SRBM102</t>
  </si>
  <si>
    <t>SRDV202U</t>
  </si>
  <si>
    <t>SINK MIXER SS (WM)</t>
  </si>
  <si>
    <t>SRSM101</t>
  </si>
  <si>
    <t>SRSP101</t>
  </si>
  <si>
    <t>SRSP102</t>
  </si>
  <si>
    <t>SRWM101</t>
  </si>
  <si>
    <t>SRWM103</t>
  </si>
  <si>
    <t>SRWM104</t>
  </si>
  <si>
    <t>ELLIPSE</t>
  </si>
  <si>
    <t>ELAC101</t>
  </si>
  <si>
    <t>ELBC101</t>
  </si>
  <si>
    <t>ELBC102</t>
  </si>
  <si>
    <t>ELBM101</t>
  </si>
  <si>
    <t>ELBM102</t>
  </si>
  <si>
    <t>ELDV202U</t>
  </si>
  <si>
    <t>ELPC101</t>
  </si>
  <si>
    <t>ELSM101</t>
  </si>
  <si>
    <t>ELSM401</t>
  </si>
  <si>
    <t>ELSP101</t>
  </si>
  <si>
    <t>ELSP102</t>
  </si>
  <si>
    <t>ELWM101</t>
  </si>
  <si>
    <t>ELWM103</t>
  </si>
  <si>
    <t>ELWM104</t>
  </si>
  <si>
    <t>BALENA</t>
  </si>
  <si>
    <t>ANGLE COCK WITH WF (NEW)</t>
  </si>
  <si>
    <t>BAAC101N</t>
  </si>
  <si>
    <t>BABC101</t>
  </si>
  <si>
    <t>BIB COCK 2-IN-1 WITH CARTRIDGE</t>
  </si>
  <si>
    <t>BABC205</t>
  </si>
  <si>
    <t>BABM101</t>
  </si>
  <si>
    <t>BABU101S</t>
  </si>
  <si>
    <t>BADV202U</t>
  </si>
  <si>
    <t>BAPC101N</t>
  </si>
  <si>
    <t>SINK COCK WM NEW WITH U SPOUT</t>
  </si>
  <si>
    <t>BASC103N</t>
  </si>
  <si>
    <t>SINK MIXER WM NEW WITH U SPOUT</t>
  </si>
  <si>
    <t>BASM102N</t>
  </si>
  <si>
    <t>BASP101</t>
  </si>
  <si>
    <t>BASP101S</t>
  </si>
  <si>
    <t>BASP102</t>
  </si>
  <si>
    <t>BTS WITH BUTTON ATT NEW</t>
  </si>
  <si>
    <t>BASP102S</t>
  </si>
  <si>
    <t>WM WPF OHS WITH BP&amp;WF(NEW SPT)</t>
  </si>
  <si>
    <t>BAWM104N</t>
  </si>
  <si>
    <t>BAWM106N</t>
  </si>
  <si>
    <t>UPPER SLCD 3-INLET</t>
  </si>
  <si>
    <t>BADV302U</t>
  </si>
  <si>
    <t>MYAC101</t>
  </si>
  <si>
    <t>BIB COCK</t>
  </si>
  <si>
    <t>MYBC101</t>
  </si>
  <si>
    <t>BIB COCK 2-IN-1</t>
  </si>
  <si>
    <t>MYBC102</t>
  </si>
  <si>
    <t>MYSTIC SLBM</t>
  </si>
  <si>
    <t>MYBM101</t>
  </si>
  <si>
    <t>SLBM EB</t>
  </si>
  <si>
    <t>MYBM102</t>
  </si>
  <si>
    <t>BASIN SPOUT DIVERTER UPPER</t>
  </si>
  <si>
    <t>MYDV103U</t>
  </si>
  <si>
    <t>DIVERTER UPPER HF &amp; REG PUSH</t>
  </si>
  <si>
    <t>MYDV111U</t>
  </si>
  <si>
    <t>DIVERTER UPPER 3 INLET PUSH</t>
  </si>
  <si>
    <t>MYDV112U</t>
  </si>
  <si>
    <t>MYPC101</t>
  </si>
  <si>
    <t>SINK MIXER (WM)</t>
  </si>
  <si>
    <t>MYSM101</t>
  </si>
  <si>
    <t>SLSM TM</t>
  </si>
  <si>
    <t>MYSM202</t>
  </si>
  <si>
    <t>PLAIN SPOUT</t>
  </si>
  <si>
    <t>MYSP101</t>
  </si>
  <si>
    <t>BUTTON SPOUT</t>
  </si>
  <si>
    <t>MYSP102</t>
  </si>
  <si>
    <t>WM OHS</t>
  </si>
  <si>
    <t>MYWM103</t>
  </si>
  <si>
    <t>WM 3-IN-1</t>
  </si>
  <si>
    <t>MYWM104</t>
  </si>
  <si>
    <t>SLWM TSA</t>
  </si>
  <si>
    <t>MYWM201</t>
  </si>
  <si>
    <t>COLOSSUS</t>
  </si>
  <si>
    <t>CLAC101</t>
  </si>
  <si>
    <t>CLBC101</t>
  </si>
  <si>
    <t>CLBC102</t>
  </si>
  <si>
    <t>CLBM101</t>
  </si>
  <si>
    <t>SLBM EXTENDED 250 mm</t>
  </si>
  <si>
    <t>CLBM102</t>
  </si>
  <si>
    <t>SLBM EXTENDED 305 mm</t>
  </si>
  <si>
    <t>CLBM103</t>
  </si>
  <si>
    <t>CL CHBM</t>
  </si>
  <si>
    <t>CLCH101</t>
  </si>
  <si>
    <t>CLDV102U</t>
  </si>
  <si>
    <t>UPPER SLCD FOR BASIN SPOUT</t>
  </si>
  <si>
    <t>CLDV103U</t>
  </si>
  <si>
    <t>UPPER SLCD REG &amp; HF PUSH TYPE</t>
  </si>
  <si>
    <t>CLDV111U</t>
  </si>
  <si>
    <t>UPPER SLCD 3-INLET PUSH TYPE</t>
  </si>
  <si>
    <t>CLDV112U</t>
  </si>
  <si>
    <t>CLPC101</t>
  </si>
  <si>
    <t>SINK COCK (WM)</t>
  </si>
  <si>
    <t>CLSC101</t>
  </si>
  <si>
    <t>SINK COCK TM</t>
  </si>
  <si>
    <t>CLSC102</t>
  </si>
  <si>
    <t>CLSM101</t>
  </si>
  <si>
    <t>BT PLAIN SPOUT</t>
  </si>
  <si>
    <t>CLSP101</t>
  </si>
  <si>
    <t>CLSP102</t>
  </si>
  <si>
    <t>CLWM103</t>
  </si>
  <si>
    <t>WM 3-IN-1 WPF TS&amp;OHS WITH BP</t>
  </si>
  <si>
    <t>CLWM104</t>
  </si>
  <si>
    <t>ALAC101</t>
  </si>
  <si>
    <t>ALBC101</t>
  </si>
  <si>
    <t>ALBC102</t>
  </si>
  <si>
    <t>ALBM101</t>
  </si>
  <si>
    <t>SLBM EXTENDED</t>
  </si>
  <si>
    <t>ALBM102</t>
  </si>
  <si>
    <t>ALDV103U</t>
  </si>
  <si>
    <t>UPPER SLCD HF PUSH PULL</t>
  </si>
  <si>
    <t>ALDV111U</t>
  </si>
  <si>
    <t>UPPER SLCD 3-INLET PUSH PULL</t>
  </si>
  <si>
    <t>ALDV112U</t>
  </si>
  <si>
    <t>UPPER SLCD 3-INLET NEW</t>
  </si>
  <si>
    <t>ALDV113U</t>
  </si>
  <si>
    <t>ALPC101</t>
  </si>
  <si>
    <t>ALSC101</t>
  </si>
  <si>
    <t>ALSM101</t>
  </si>
  <si>
    <t>ALSP101</t>
  </si>
  <si>
    <t>WM WPF OHS WITH BP&amp;WF BIG</t>
  </si>
  <si>
    <t>ALWM103N</t>
  </si>
  <si>
    <t>ALWM201</t>
  </si>
  <si>
    <t>INAC101</t>
  </si>
  <si>
    <t>INBC101</t>
  </si>
  <si>
    <t>INBC102</t>
  </si>
  <si>
    <t>INBM101</t>
  </si>
  <si>
    <t>INBM102</t>
  </si>
  <si>
    <t>INDV103U</t>
  </si>
  <si>
    <t>INDV111U</t>
  </si>
  <si>
    <t>INDV112U</t>
  </si>
  <si>
    <t>INDV113U</t>
  </si>
  <si>
    <t>INPC101</t>
  </si>
  <si>
    <t>PILLAR COCK EXTENDED</t>
  </si>
  <si>
    <t>INPC102</t>
  </si>
  <si>
    <t>INSC101</t>
  </si>
  <si>
    <t>INSM101</t>
  </si>
  <si>
    <t>INSP101</t>
  </si>
  <si>
    <t>BTS WITH BUTTON ATT.</t>
  </si>
  <si>
    <t>INSP102</t>
  </si>
  <si>
    <t>WM WITH TSA</t>
  </si>
  <si>
    <t>INWM101</t>
  </si>
  <si>
    <t>INWM103</t>
  </si>
  <si>
    <t>INWM104</t>
  </si>
  <si>
    <t>SPRY</t>
  </si>
  <si>
    <t>SYAC101</t>
  </si>
  <si>
    <t>SYBC101</t>
  </si>
  <si>
    <t>SYBM101</t>
  </si>
  <si>
    <t>SYDV103U</t>
  </si>
  <si>
    <t>SYDV111U</t>
  </si>
  <si>
    <t>SYDV112U</t>
  </si>
  <si>
    <t>SYDV113U</t>
  </si>
  <si>
    <t>SYSC101</t>
  </si>
  <si>
    <t>SYSM101</t>
  </si>
  <si>
    <t>SYSP101</t>
  </si>
  <si>
    <t>SYSP102</t>
  </si>
  <si>
    <t>WMWPFOHSWITHBP&amp;WF WITH CART</t>
  </si>
  <si>
    <t>SYWM103N</t>
  </si>
  <si>
    <t>SYWM201</t>
  </si>
  <si>
    <t>PILLAR COCK (FF)</t>
  </si>
  <si>
    <t>PT01</t>
  </si>
  <si>
    <t>BIB COCK (FF)</t>
  </si>
  <si>
    <t>PT02</t>
  </si>
  <si>
    <t>BIB COCK GARDEN TYPE</t>
  </si>
  <si>
    <t>PT02A</t>
  </si>
  <si>
    <t>PT03C</t>
  </si>
  <si>
    <t>ANGULAR STOP COCK WITH WF</t>
  </si>
  <si>
    <t>PT04A</t>
  </si>
  <si>
    <t>ANGULAR STOP COCK 2-IN-1</t>
  </si>
  <si>
    <t>PT04B</t>
  </si>
  <si>
    <t>CHBM W/O PWS WITH 600MM FH</t>
  </si>
  <si>
    <t>PT07A</t>
  </si>
  <si>
    <t>WM WPF OHS WITH CARTRIDGE</t>
  </si>
  <si>
    <t>PT10N</t>
  </si>
  <si>
    <t>WM 3-IN-1 WPF TS&amp;OHS WITH CARTRIDGE</t>
  </si>
  <si>
    <t>PT11N</t>
  </si>
  <si>
    <t>PT12</t>
  </si>
  <si>
    <t>PT13</t>
  </si>
  <si>
    <t>SINK COCK (TM)</t>
  </si>
  <si>
    <t>PT19</t>
  </si>
  <si>
    <t>SLBM W/O PWS WITH FP</t>
  </si>
  <si>
    <t>PT21</t>
  </si>
  <si>
    <t>SLBM EXT BODY W/O PWS WITH FP</t>
  </si>
  <si>
    <t>PT24</t>
  </si>
  <si>
    <t>SL SINK MIXER SS (WM)</t>
  </si>
  <si>
    <t>PT26</t>
  </si>
  <si>
    <t>SL WALL MIXER WITH TSA</t>
  </si>
  <si>
    <t>PT28</t>
  </si>
  <si>
    <t>UPPER CSC 15MM</t>
  </si>
  <si>
    <t>PT332</t>
  </si>
  <si>
    <t>TOILET PAPER HOLDER</t>
  </si>
  <si>
    <t>AC706</t>
  </si>
  <si>
    <t>DE01</t>
  </si>
  <si>
    <t>DE02</t>
  </si>
  <si>
    <t>DE02A</t>
  </si>
  <si>
    <t>DE03C</t>
  </si>
  <si>
    <t>DE04A</t>
  </si>
  <si>
    <t>DE04B</t>
  </si>
  <si>
    <t>CHBM W/O PWS WITH FP</t>
  </si>
  <si>
    <t>DE07</t>
  </si>
  <si>
    <t>DE07A</t>
  </si>
  <si>
    <t>DE10N</t>
  </si>
  <si>
    <t>DE11N</t>
  </si>
  <si>
    <t>DE12</t>
  </si>
  <si>
    <t>DE13</t>
  </si>
  <si>
    <t>DE19</t>
  </si>
  <si>
    <t>DE21</t>
  </si>
  <si>
    <t>DE24</t>
  </si>
  <si>
    <t>DE26</t>
  </si>
  <si>
    <t>SLSM SS TM</t>
  </si>
  <si>
    <t>DE27</t>
  </si>
  <si>
    <t>DE28</t>
  </si>
  <si>
    <t>PRIMUS</t>
  </si>
  <si>
    <t>P101</t>
  </si>
  <si>
    <t>P103</t>
  </si>
  <si>
    <t>P103A</t>
  </si>
  <si>
    <t>LONG BODY BIB COCK WITH WF</t>
  </si>
  <si>
    <t>P105</t>
  </si>
  <si>
    <t>P112</t>
  </si>
  <si>
    <t>ANGLE COCK 2-IN-1 WITH WF</t>
  </si>
  <si>
    <t>P112A</t>
  </si>
  <si>
    <t>SWAN NECK WITH CS</t>
  </si>
  <si>
    <t>P113</t>
  </si>
  <si>
    <t>CHBM W/O PWS</t>
  </si>
  <si>
    <t>P118</t>
  </si>
  <si>
    <t>WM OHS WITH BP WF</t>
  </si>
  <si>
    <t>P122</t>
  </si>
  <si>
    <t>P123</t>
  </si>
  <si>
    <t>P127</t>
  </si>
  <si>
    <t>P141</t>
  </si>
  <si>
    <t>PR103</t>
  </si>
  <si>
    <t>PR103A</t>
  </si>
  <si>
    <t>PR115</t>
  </si>
  <si>
    <t>PR122</t>
  </si>
  <si>
    <t>PRIMUS PRO</t>
  </si>
  <si>
    <t>PP101</t>
  </si>
  <si>
    <t>PP103</t>
  </si>
  <si>
    <t>PP103A</t>
  </si>
  <si>
    <t>BIB COCK W/O WF</t>
  </si>
  <si>
    <t>PP103B</t>
  </si>
  <si>
    <t>PP105</t>
  </si>
  <si>
    <t>LONG BODY BIB COCK W/O WF</t>
  </si>
  <si>
    <t>PP105A</t>
  </si>
  <si>
    <t>PP112</t>
  </si>
  <si>
    <t>ANGLE COCK 2-IN-1</t>
  </si>
  <si>
    <t>PP112A</t>
  </si>
  <si>
    <t>ANGLE COCK W/O WF</t>
  </si>
  <si>
    <t>PP112B</t>
  </si>
  <si>
    <t>PP114</t>
  </si>
  <si>
    <t>PP116</t>
  </si>
  <si>
    <t>PP117</t>
  </si>
  <si>
    <t>PRIMUS PRO SLBM</t>
  </si>
  <si>
    <t>PP119</t>
  </si>
  <si>
    <t>PP122</t>
  </si>
  <si>
    <t>PP123</t>
  </si>
  <si>
    <t>PP127</t>
  </si>
  <si>
    <t>PP141</t>
  </si>
  <si>
    <t>UPPER SLCD 3-INLET PUSH</t>
  </si>
  <si>
    <t>PP331O</t>
  </si>
  <si>
    <t>UPPER SLCD HF &amp; REG 40MM PUSH</t>
  </si>
  <si>
    <t>PP331P</t>
  </si>
  <si>
    <t>Upper CSC, 15 mm, 20mm &amp; Flush Cock</t>
  </si>
  <si>
    <t>PP332</t>
  </si>
  <si>
    <t>AMPLUS</t>
  </si>
  <si>
    <t>AM103</t>
  </si>
  <si>
    <t>AM112A</t>
  </si>
  <si>
    <t>AM114</t>
  </si>
  <si>
    <t>AM122</t>
  </si>
  <si>
    <t>CROMA</t>
  </si>
  <si>
    <t>C201</t>
  </si>
  <si>
    <t>BIB COCK WITH WF (FF)</t>
  </si>
  <si>
    <t>C202B</t>
  </si>
  <si>
    <t>BIB COCK 2-IN-1(MOHRA SYSTEM)</t>
  </si>
  <si>
    <t>C203A</t>
  </si>
  <si>
    <t>C203G</t>
  </si>
  <si>
    <t>ANGULAR STOP COCK W/O WF</t>
  </si>
  <si>
    <t>C204</t>
  </si>
  <si>
    <t>ANGLE COCK WITH WALL FLANGE</t>
  </si>
  <si>
    <t>C204E</t>
  </si>
  <si>
    <t>C209</t>
  </si>
  <si>
    <t>SWAN NECK TAP W/LHOK</t>
  </si>
  <si>
    <t>C210</t>
  </si>
  <si>
    <t>C211A</t>
  </si>
  <si>
    <t>WALL MIXER WPF OHS WITH CARTRIDGE</t>
  </si>
  <si>
    <t>C216D</t>
  </si>
  <si>
    <t>WALL MIXER 3-IN-1 with cartridge</t>
  </si>
  <si>
    <t>C218A</t>
  </si>
  <si>
    <t>C219</t>
  </si>
  <si>
    <t>C220</t>
  </si>
  <si>
    <t>NEW ECHO</t>
  </si>
  <si>
    <t>NEC01</t>
  </si>
  <si>
    <t>NEC02</t>
  </si>
  <si>
    <t>BC 2-IN-1 WITH CARTRIDGE</t>
  </si>
  <si>
    <t>NEC02H</t>
  </si>
  <si>
    <t>ANGLE COCK SPL LEVER &amp; BIG FLA</t>
  </si>
  <si>
    <t>NEC04A</t>
  </si>
  <si>
    <t>WALL MIXER NON-TSA</t>
  </si>
  <si>
    <t>NEC08</t>
  </si>
  <si>
    <t>WM 3-IN-1 WPF TS&amp;OHS WITH BPWF WITH CART</t>
  </si>
  <si>
    <t>NEC09N</t>
  </si>
  <si>
    <t>WALL MIXER WPF OHS WITH CART</t>
  </si>
  <si>
    <t>NEC10N</t>
  </si>
  <si>
    <t>SM WITH SS (WM)</t>
  </si>
  <si>
    <t>NEC12</t>
  </si>
  <si>
    <t>SINK COCK WITH RSS &amp; WF</t>
  </si>
  <si>
    <t>NEC13</t>
  </si>
  <si>
    <t>NEC07</t>
  </si>
  <si>
    <t>NEW ECHO SINK COCK SS TM</t>
  </si>
  <si>
    <t>NEC13A</t>
  </si>
  <si>
    <t>BATH ESSENTIALS- DIVERTER</t>
  </si>
  <si>
    <t>BODY SLCD B. SPOUT NEW (CASTED)</t>
  </si>
  <si>
    <t>B2BD101</t>
  </si>
  <si>
    <t>BODY ROYALE INSPIRE SLCD HF</t>
  </si>
  <si>
    <t>B2DV202</t>
  </si>
  <si>
    <t>BODY ROYAL SLCD 3-INLET</t>
  </si>
  <si>
    <t>B2DV302</t>
  </si>
  <si>
    <t>CONCEALED STOP COCK</t>
  </si>
  <si>
    <t>BODY CSC 20MM BE</t>
  </si>
  <si>
    <t>B2CC102</t>
  </si>
  <si>
    <t>BATH ESSENTIAL</t>
  </si>
  <si>
    <t>BODY CSC 15MM BE</t>
  </si>
  <si>
    <t>B2CC101</t>
  </si>
  <si>
    <t>BATH ESSENTIALS- CONCEALED</t>
  </si>
  <si>
    <t>ROYALE-SHOWERS</t>
  </si>
  <si>
    <t>3F OHS W/O ARM</t>
  </si>
  <si>
    <t>RSOH104</t>
  </si>
  <si>
    <t>OHS HALO WITH SPRAY FLOW WITH ARM</t>
  </si>
  <si>
    <t>RSRF301</t>
  </si>
  <si>
    <t>SELF CLEAN SHOWER</t>
  </si>
  <si>
    <t>9 INCH SELF CLEAN RF SHOWER</t>
  </si>
  <si>
    <t>BHRF101</t>
  </si>
  <si>
    <t>BS-SHOWERS</t>
  </si>
  <si>
    <t>RECTANGULAR SELF CLEANING HEAD SHOWER</t>
  </si>
  <si>
    <t>BHRF102</t>
  </si>
  <si>
    <t>ESSESS- OVER HEAD &amp; RAINFALL SHOWER</t>
  </si>
  <si>
    <t>(DS) OHS 2F w/o arm</t>
  </si>
  <si>
    <t>OH110S</t>
  </si>
  <si>
    <t>ESSESS-SHOWERS</t>
  </si>
  <si>
    <t>4" OHS, 1F w/o arm</t>
  </si>
  <si>
    <t>OH202</t>
  </si>
  <si>
    <t>20.3 cm RFS ROUND w/o arm [8]</t>
  </si>
  <si>
    <t>RF205</t>
  </si>
  <si>
    <t>20.3 cm RFS SQUARE w/o arm [8]</t>
  </si>
  <si>
    <t>RF206</t>
  </si>
  <si>
    <t>ESSESS-HAND SHOWER</t>
  </si>
  <si>
    <t>(EA) HS, 1F with 1.5 mtr flex tube &amp; hoo</t>
  </si>
  <si>
    <t>EA16</t>
  </si>
  <si>
    <t>4" HS, 3F with 1.5 mtr flex tube &amp; hook</t>
  </si>
  <si>
    <t>HS201</t>
  </si>
  <si>
    <t>4" HS, 1F with 1.5 mtr flex tube &amp; hook</t>
  </si>
  <si>
    <t>HS202</t>
  </si>
  <si>
    <t>3.5" HS Square with 1.5 mtr flex tube &amp;</t>
  </si>
  <si>
    <t>HS205</t>
  </si>
  <si>
    <t>BATH ESSENTIALS- SHOWER ARM</t>
  </si>
  <si>
    <t>EC SHOWER ARM</t>
  </si>
  <si>
    <t>SA101</t>
  </si>
  <si>
    <t>15" RFS arm round New</t>
  </si>
  <si>
    <t>SA105N</t>
  </si>
  <si>
    <t>18" RFS arm round New</t>
  </si>
  <si>
    <t>SA107N</t>
  </si>
  <si>
    <t>15" RFS arm square New</t>
  </si>
  <si>
    <t>SA106N</t>
  </si>
  <si>
    <t>HEALTH FAUCETS</t>
  </si>
  <si>
    <t>HEALTH FAUCET ROYALE WHGD</t>
  </si>
  <si>
    <t>REHF701</t>
  </si>
  <si>
    <t>ROYALE-HF</t>
  </si>
  <si>
    <t>PURA LITE HF WITH PIPE &amp; HOOK - French G</t>
  </si>
  <si>
    <t>GDC232Y</t>
  </si>
  <si>
    <t>Health faucet Matt Black</t>
  </si>
  <si>
    <t>MBC232N</t>
  </si>
  <si>
    <t>PURA LITE HF WITH PIPE &amp; HOOK - Rose Gol</t>
  </si>
  <si>
    <t>RGC232Y</t>
  </si>
  <si>
    <t>HEALTH FAUCET BATH SENSE</t>
  </si>
  <si>
    <t>C232N</t>
  </si>
  <si>
    <t>BATH ESSENTIALS- HF</t>
  </si>
  <si>
    <t>PURA LITE HF WITH PIPE &amp; HOOK</t>
  </si>
  <si>
    <t>C232Y</t>
  </si>
  <si>
    <t>SLIDE RAIL</t>
  </si>
  <si>
    <t>LUXURY SLIDE RAIL</t>
  </si>
  <si>
    <t>LS01</t>
  </si>
  <si>
    <t>ESSESS-ESSENTIALS</t>
  </si>
  <si>
    <t>ROYALE DIAMOND</t>
  </si>
  <si>
    <t>ROBE HOOK</t>
  </si>
  <si>
    <t>DMRH101</t>
  </si>
  <si>
    <t>SOAP DISH</t>
  </si>
  <si>
    <t>DMSD101</t>
  </si>
  <si>
    <t>TUMBLER HOLDER</t>
  </si>
  <si>
    <t>DMTH101</t>
  </si>
  <si>
    <t>DMTP201</t>
  </si>
  <si>
    <t>SINGLE TOWEL RAIL</t>
  </si>
  <si>
    <t>DMTW101</t>
  </si>
  <si>
    <t>DOUBLE TOWEL RAIL</t>
  </si>
  <si>
    <t>DMTW102</t>
  </si>
  <si>
    <t>TOWEL BRACKET</t>
  </si>
  <si>
    <t>DMTW401</t>
  </si>
  <si>
    <t>TOWEL RING</t>
  </si>
  <si>
    <t>DMTW501</t>
  </si>
  <si>
    <t>ROYALE PEARL</t>
  </si>
  <si>
    <t>ROBE HOOK (New)</t>
  </si>
  <si>
    <t>PERH101N</t>
  </si>
  <si>
    <t>PESD101</t>
  </si>
  <si>
    <t>PETH101</t>
  </si>
  <si>
    <t>TOILET PAPER HOLDER (New)</t>
  </si>
  <si>
    <t>PETP101N</t>
  </si>
  <si>
    <t>PETW101</t>
  </si>
  <si>
    <t>PETW102</t>
  </si>
  <si>
    <t>PETW201</t>
  </si>
  <si>
    <t>PETW401</t>
  </si>
  <si>
    <t>ROYALE SQUARE</t>
  </si>
  <si>
    <t>SQRH101</t>
  </si>
  <si>
    <t>SQSD101</t>
  </si>
  <si>
    <t>SQTH101</t>
  </si>
  <si>
    <t>SQTP101</t>
  </si>
  <si>
    <t>SQTW101</t>
  </si>
  <si>
    <t>SQTW102</t>
  </si>
  <si>
    <t>SQTW201</t>
  </si>
  <si>
    <t>SQTW401</t>
  </si>
  <si>
    <t>TOWEL RAIL (61 CM)</t>
  </si>
  <si>
    <t>AC101</t>
  </si>
  <si>
    <t>AC102</t>
  </si>
  <si>
    <t>AC103</t>
  </si>
  <si>
    <t>TUMBLER HOLDER /BP STAND</t>
  </si>
  <si>
    <t>AC104</t>
  </si>
  <si>
    <t>ROBE HOOK (2 WAY)</t>
  </si>
  <si>
    <t>AC105</t>
  </si>
  <si>
    <t>AC106</t>
  </si>
  <si>
    <t>GLASS/ACRYLIC SHELF(56CMX13CM)</t>
  </si>
  <si>
    <t>AC107</t>
  </si>
  <si>
    <t>TOWEL BRACKET (61 CM)</t>
  </si>
  <si>
    <t>AC108</t>
  </si>
  <si>
    <t>TOWER RAIL (46 CM) (New)</t>
  </si>
  <si>
    <t>C412B</t>
  </si>
  <si>
    <t>GRAB BAR (New)</t>
  </si>
  <si>
    <t>C426A</t>
  </si>
  <si>
    <t>TARIM</t>
  </si>
  <si>
    <t>AC301</t>
  </si>
  <si>
    <t>AC302</t>
  </si>
  <si>
    <t>AC303</t>
  </si>
  <si>
    <t>AC304</t>
  </si>
  <si>
    <t>AC305</t>
  </si>
  <si>
    <t>AC306</t>
  </si>
  <si>
    <t>GLAAS/ACR. SHELF (46CMX13 CM)</t>
  </si>
  <si>
    <t>AC307</t>
  </si>
  <si>
    <t>AC308</t>
  </si>
  <si>
    <t>GRAB BAR (21 CM)</t>
  </si>
  <si>
    <t>AC309</t>
  </si>
  <si>
    <t>FAUCET SHINE</t>
  </si>
  <si>
    <t>Faucet Shine 100 ml</t>
  </si>
  <si>
    <t>B2FS101</t>
  </si>
  <si>
    <t>BATH ESSENTIALS</t>
  </si>
  <si>
    <t>Faucet Shine 250 ml</t>
  </si>
  <si>
    <t>B2FS102</t>
  </si>
  <si>
    <t>CONNECTION HOSE</t>
  </si>
  <si>
    <t>PVC Connection Hose - 18"</t>
  </si>
  <si>
    <t>B2CH118</t>
  </si>
  <si>
    <t>PVC Connection Hose - 24"</t>
  </si>
  <si>
    <t>B2CH124</t>
  </si>
  <si>
    <t>SS 304 Connection Hose - 18"</t>
  </si>
  <si>
    <t>B2CH218</t>
  </si>
  <si>
    <t>SS 304 Connection Hose - 24"</t>
  </si>
  <si>
    <t>B2CH224</t>
  </si>
  <si>
    <t>EXTENSION NIPPLE</t>
  </si>
  <si>
    <t>Extension Nipple 1"</t>
  </si>
  <si>
    <t>EN10</t>
  </si>
  <si>
    <t>Extension Nipple 1.5"</t>
  </si>
  <si>
    <t>EN15</t>
  </si>
  <si>
    <t>Extension Nipple 2"</t>
  </si>
  <si>
    <t>EN20</t>
  </si>
  <si>
    <t>Extension Nipple 2.5"</t>
  </si>
  <si>
    <t>EN25</t>
  </si>
  <si>
    <t>WASTE COUPLING &amp; BOTTLE TRAP</t>
  </si>
  <si>
    <t>WASTE COUPLING 1.25 (FT) (New)</t>
  </si>
  <si>
    <t>C230I</t>
  </si>
  <si>
    <t>WASTE COUPLING 1.25 (HT) (New)</t>
  </si>
  <si>
    <t>C230J</t>
  </si>
  <si>
    <t>3.5" WASTE COUPLING FULLTHREAD BGE POPUP</t>
  </si>
  <si>
    <t>C230-BGE</t>
  </si>
  <si>
    <t>3.5" WASTE COUPLING FULLTHREAD BLK POPUP</t>
  </si>
  <si>
    <t>C230-BLK</t>
  </si>
  <si>
    <t>3.5" WASTE COUPLING FULLTHREAD GRE POPUP</t>
  </si>
  <si>
    <t>C230-GRE</t>
  </si>
  <si>
    <t>BT Lite Set with 5" and 7"pipe</t>
  </si>
  <si>
    <t>C231K</t>
  </si>
  <si>
    <t>VANITY</t>
  </si>
  <si>
    <t>Module A - 24" WG (Valencia Ash)</t>
  </si>
  <si>
    <t>VFM124A</t>
  </si>
  <si>
    <t>Module A - 24" Solid (Champagne)</t>
  </si>
  <si>
    <t>VFM124B</t>
  </si>
  <si>
    <t>Module A - 32" WG (Valencia Ash)</t>
  </si>
  <si>
    <t>VFM132A</t>
  </si>
  <si>
    <t>Module A - 32" Solid (Champagne)</t>
  </si>
  <si>
    <t>VFM132B</t>
  </si>
  <si>
    <t>Module B - 24" WG (Valencia Ash)</t>
  </si>
  <si>
    <t>VFM224A</t>
  </si>
  <si>
    <t>Module B - 24" Solid (Champagne)</t>
  </si>
  <si>
    <t>VFM224B</t>
  </si>
  <si>
    <t>Module B - 32" WG (Valencia Ash)</t>
  </si>
  <si>
    <t>VFM232A</t>
  </si>
  <si>
    <t>Module B - 32" Solid (Champagne)</t>
  </si>
  <si>
    <t>VFM232B</t>
  </si>
  <si>
    <t>Module C - 24" WG (Valencia Ash)</t>
  </si>
  <si>
    <t>VWM324A</t>
  </si>
  <si>
    <t>Module C - 24" Solid (Champagne)</t>
  </si>
  <si>
    <t>VWM324B</t>
  </si>
  <si>
    <t>Module D - 32" WG (Valencia Ash)</t>
  </si>
  <si>
    <t>VWM432A</t>
  </si>
  <si>
    <t>Module D - 32" Soild (Champagne)</t>
  </si>
  <si>
    <t>VWM432B</t>
  </si>
  <si>
    <t>SS KITCHEN SINK</t>
  </si>
  <si>
    <t>DOUBLE BOWL 37X18X8 GLOSSY</t>
  </si>
  <si>
    <t>DBG37188</t>
  </si>
  <si>
    <t>DOUBLE BOWL 37X18X8 MATT</t>
  </si>
  <si>
    <t>DBM37188</t>
  </si>
  <si>
    <t>DRAINBOARD 37X18X8 GLOSSY</t>
  </si>
  <si>
    <t>DRG37188</t>
  </si>
  <si>
    <t>DRAINBOARD 37X18X8 MATT</t>
  </si>
  <si>
    <t>DRM37188</t>
  </si>
  <si>
    <t>SINK 16X18X8 GLOSSY</t>
  </si>
  <si>
    <t>SG16188</t>
  </si>
  <si>
    <t>SINK 24X18X8 GLOSSY</t>
  </si>
  <si>
    <t>SG24188</t>
  </si>
  <si>
    <t>SINK 16X18X8 MATT</t>
  </si>
  <si>
    <t>SM16188</t>
  </si>
  <si>
    <t>SINK 24X18X8 MATT</t>
  </si>
  <si>
    <t>SM24188</t>
  </si>
  <si>
    <t>Painter</t>
  </si>
  <si>
    <t>Mobile</t>
  </si>
  <si>
    <t>Sanjib Shrestha</t>
  </si>
  <si>
    <t>Basudev Chapagain</t>
  </si>
  <si>
    <t>Shiva Bhandari</t>
  </si>
  <si>
    <t>Bharat Chaurasiya</t>
  </si>
  <si>
    <t>Khadga Pd. Tamang</t>
  </si>
  <si>
    <t>MD Anzauul</t>
  </si>
  <si>
    <t>Alok Ghorasaini</t>
  </si>
  <si>
    <t>Mr. Yuvaraj Lungele</t>
  </si>
  <si>
    <t>Bohoj Bd Shrestha</t>
  </si>
  <si>
    <t>Maila Tamang</t>
  </si>
  <si>
    <t>Bhupendra Raj Giri</t>
  </si>
  <si>
    <t>Sandip Sharma</t>
  </si>
  <si>
    <t>Chettra bahadur Thapa Magar</t>
  </si>
  <si>
    <t>Ram Bahadur Rai</t>
  </si>
  <si>
    <t>Santosh kumar singh</t>
  </si>
  <si>
    <t>Surendra Hada</t>
  </si>
  <si>
    <t>Santosh KC</t>
  </si>
  <si>
    <t>Bal Bahadur lamichhane</t>
  </si>
  <si>
    <t>Bhoj Bdr Shrestha</t>
  </si>
  <si>
    <t>Bola Singh</t>
  </si>
  <si>
    <t>Umesh payakurel</t>
  </si>
  <si>
    <t>Hiralal Prasad Gupta</t>
  </si>
  <si>
    <t>Kishna Bahadur Baruwal</t>
  </si>
  <si>
    <t>Lila Pd Sapkota</t>
  </si>
  <si>
    <t>Man Bdr Bhattarai</t>
  </si>
  <si>
    <t>Raj Kumar Bhandari</t>
  </si>
  <si>
    <t>Tej Narayan Chaudhary</t>
  </si>
  <si>
    <t>Sonu Maharjan</t>
  </si>
  <si>
    <t>Krishna Bdr Rai</t>
  </si>
  <si>
    <t>Sworup Lamichhane</t>
  </si>
  <si>
    <t>Bhim Bdr Gurung</t>
  </si>
  <si>
    <t>Rajesh Ram</t>
  </si>
  <si>
    <t>Bikesh Lama</t>
  </si>
  <si>
    <t>Dilip Kumar bishowkarma</t>
  </si>
  <si>
    <t>Santosh K. Shahnogiya</t>
  </si>
  <si>
    <t>Shaildendra Kumar yadav</t>
  </si>
  <si>
    <t>Krishna Rai</t>
  </si>
  <si>
    <t>Ghaman Bdr Achhami Magar</t>
  </si>
  <si>
    <t>Kitabudin Khang</t>
  </si>
  <si>
    <t>Narayen Shah Teli</t>
  </si>
  <si>
    <t>Radha Krishna Pakurel</t>
  </si>
  <si>
    <t>Sanjiv Niwas Shrestha</t>
  </si>
  <si>
    <t>Vijay Upadhaya</t>
  </si>
  <si>
    <t>Sanjay Kumar</t>
  </si>
  <si>
    <t>Ajay Mijar</t>
  </si>
  <si>
    <t>Bhim Kumar Shrestha</t>
  </si>
  <si>
    <t>Sanjay magar</t>
  </si>
  <si>
    <t>Sandip Sharma (Dhungana)</t>
  </si>
  <si>
    <t>Rajesh Yadav</t>
  </si>
  <si>
    <t>Shiv Bahadur Bhandari</t>
  </si>
  <si>
    <t>Kebal Basnet</t>
  </si>
  <si>
    <t>Prabesh Chandari</t>
  </si>
  <si>
    <t>Pannalal Shah</t>
  </si>
  <si>
    <t>Thal Bahadur Thapa Magar</t>
  </si>
  <si>
    <t>KOKILA NARANJI/0RANGE</t>
  </si>
  <si>
    <t>KOKILA MAHAGONI/ROSE</t>
  </si>
  <si>
    <t>KOKILA BLACK</t>
  </si>
  <si>
    <t>KOKILA BROWN</t>
  </si>
  <si>
    <t>10GM</t>
  </si>
  <si>
    <t>RAJARANI ROSE</t>
  </si>
  <si>
    <t>RAJARANI ORANGE</t>
  </si>
  <si>
    <t>RAJARANI BLACK</t>
  </si>
  <si>
    <t>RAJARANI BROWN</t>
  </si>
  <si>
    <t>SALES Rate</t>
  </si>
  <si>
    <t>LANDING</t>
  </si>
  <si>
    <t>1 PCS</t>
  </si>
  <si>
    <t>1" 444 BRUSH</t>
  </si>
  <si>
    <t>2" 444 BRUSH</t>
  </si>
  <si>
    <t>3" 444 BRUSH</t>
  </si>
  <si>
    <t>4" 444 BRUSH</t>
  </si>
  <si>
    <t>ULTIMA PROTEK PS13/15/20</t>
  </si>
  <si>
    <t>dealer123</t>
  </si>
  <si>
    <t>Damp Proof  8Yrs</t>
  </si>
  <si>
    <t>TranDate</t>
  </si>
  <si>
    <t>Description</t>
  </si>
  <si>
    <t>ValueDate</t>
  </si>
  <si>
    <t>Debit</t>
  </si>
  <si>
    <t>Credit</t>
  </si>
  <si>
    <t>Balance</t>
  </si>
  <si>
    <t>TranId</t>
  </si>
  <si>
    <t>8/13/2024</t>
  </si>
  <si>
    <t>222232FPQR-171569264-3560-54FPQR-171569264-3560</t>
  </si>
  <si>
    <t>HPP030744063</t>
  </si>
  <si>
    <t>222232FPQR-171688056-3561-54FPQR-171688056-3561</t>
  </si>
  <si>
    <t>HPP131814720</t>
  </si>
  <si>
    <t>222232FPQR-171768747-3562-54FPQR-171768747-3562</t>
  </si>
  <si>
    <t>HPP175545877</t>
  </si>
  <si>
    <t>ASIAN PAINTS NEPAL PVT LTDINC:ECC 259211</t>
  </si>
  <si>
    <t>CHQ. DEP-THE GS TRADE</t>
  </si>
  <si>
    <t>DEP-RAJENDRA SHRESTHA</t>
  </si>
  <si>
    <t>~ Date summary</t>
  </si>
  <si>
    <t>8/14/2024</t>
  </si>
  <si>
    <t>222232FPQR-171909315-3563-54FPQR-171909315-3563</t>
  </si>
  <si>
    <t>HPP023648267</t>
  </si>
  <si>
    <t>222232FPQR-172026894-3564-54FPQR-172026894-3564</t>
  </si>
  <si>
    <t>HPP125108137</t>
  </si>
  <si>
    <t>222232FPQR-172108283-3565-54FPQR-172108283-3565</t>
  </si>
  <si>
    <t>HPP172729187</t>
  </si>
  <si>
    <t>8/15/2024</t>
  </si>
  <si>
    <t>222232FPQR-172248486-3566-54FPQR-172248486-3566</t>
  </si>
  <si>
    <t>HPP022311783</t>
  </si>
  <si>
    <t>222232FPQR-172447223-3568-54FPQR-172447223-3568</t>
  </si>
  <si>
    <t>HPP170023340</t>
  </si>
  <si>
    <t>8/16/2024</t>
  </si>
  <si>
    <t>222232FPQR-172588029-3569-54FPQR-172588029-3569</t>
  </si>
  <si>
    <t>HPP041254090</t>
  </si>
  <si>
    <t>222232FPQR-172706277-3570-54FPQR-172706277-3570</t>
  </si>
  <si>
    <t>HPP124949367</t>
  </si>
  <si>
    <t>222232FPQR-172787008-3571-54FPQR-172787008-3571</t>
  </si>
  <si>
    <t>HPP175331257</t>
  </si>
  <si>
    <t>MPBL40544138</t>
  </si>
  <si>
    <t>NIBL3029780419</t>
  </si>
  <si>
    <t>NICA70932082</t>
  </si>
  <si>
    <t>8/17/2024</t>
  </si>
  <si>
    <t>222232FPQR-172927898-3572-54FPQR-172927898-3572</t>
  </si>
  <si>
    <t>HPP024217760</t>
  </si>
  <si>
    <t>8/18/2024</t>
  </si>
  <si>
    <t>222232FPQR-173119649-3574-FPQR-173119649-3574:OFF</t>
  </si>
  <si>
    <t>HPP175050963</t>
  </si>
  <si>
    <t>222232FPQR-173316153-3576-54FPQR-173316153-3576</t>
  </si>
  <si>
    <t>HPP131454020</t>
  </si>
  <si>
    <t>222232FPQR-173398466-3577-54FPQR-173398466-3577</t>
  </si>
  <si>
    <t>HPP181103340</t>
  </si>
  <si>
    <t>TERAI TRADERSINC:ECC 259225</t>
  </si>
  <si>
    <t>8/19/2024</t>
  </si>
  <si>
    <t>222232FPQR-173539300-3578-54FPQR-173539300-3578</t>
  </si>
  <si>
    <t>HPP033234787</t>
  </si>
  <si>
    <t>222232FPQR-173655514-3579-54FPQR-173655514-3579</t>
  </si>
  <si>
    <t>HPP122304070</t>
  </si>
  <si>
    <t>ASIAN PAINTS NEPAL PVT LTD INC:ECC 259214</t>
  </si>
  <si>
    <t>8/20/2024</t>
  </si>
  <si>
    <t>222232FPQR-173731376-3580-54FPQR-173731376-3580</t>
  </si>
  <si>
    <t>HPP185406700</t>
  </si>
  <si>
    <t>222232FPQR-173924256-3582-54FPQR-173924256-3582</t>
  </si>
  <si>
    <t>HPP125850823</t>
  </si>
  <si>
    <t>222232FPQR-173970989-3583-54FPQR-173970989-3583</t>
  </si>
  <si>
    <t>HPP174003533</t>
  </si>
  <si>
    <t>8/21/2024</t>
  </si>
  <si>
    <t>222232FPQR-174045848-3584-54FPQR-174045848-3584</t>
  </si>
  <si>
    <t>HPP023826670</t>
  </si>
  <si>
    <t>222232FPQR-174211270-3586-54FPQR-174211270-3586</t>
  </si>
  <si>
    <t>HPP185030510</t>
  </si>
  <si>
    <t>ECC O/W CHQ CHRG</t>
  </si>
  <si>
    <t>SIFL522458</t>
  </si>
  <si>
    <t>8/22/2024</t>
  </si>
  <si>
    <t>222232FPQR-174286350-3587-54FPQR-174286350-3587</t>
  </si>
  <si>
    <t>HPP034905940</t>
  </si>
  <si>
    <t>222232FPQR-174485847-3589-54FPQR-174485847-3589</t>
  </si>
  <si>
    <t>HPP175220450</t>
  </si>
  <si>
    <t>8/23/2024</t>
  </si>
  <si>
    <t>222232FPQR-174626596-3590-54FPQR-174626596-3590</t>
  </si>
  <si>
    <t>HPP033848827</t>
  </si>
  <si>
    <t>741545THE G.S. TRADE NPRK0452 NPR10673-CIPS</t>
  </si>
  <si>
    <t>HPP150231590</t>
  </si>
  <si>
    <t>8/24/2024</t>
  </si>
  <si>
    <t>222232FPQR-174825687-3592-FPQR-174825687-3592:OFF</t>
  </si>
  <si>
    <t>HPP174731597</t>
  </si>
  <si>
    <t>8/25/2024</t>
  </si>
  <si>
    <t>137421THE G.S. TRADE NPRK0452 npr10673-CIPS</t>
  </si>
  <si>
    <t>HPP114106810</t>
  </si>
  <si>
    <t>222232FPQR-175157615-3595-54FPQR-175157615-3595</t>
  </si>
  <si>
    <t>HPP184326300</t>
  </si>
  <si>
    <t>222232FPQR-175436047-3598-54FPQR-175436047-3598</t>
  </si>
  <si>
    <t>HPP184114430</t>
  </si>
  <si>
    <t>TERAI TRADERSINC:ECC 259227</t>
  </si>
  <si>
    <t>8/26/2024</t>
  </si>
  <si>
    <t>222232FPQR-175576504-3599-54FPQR-175576504-3599</t>
  </si>
  <si>
    <t>HPP021751080</t>
  </si>
  <si>
    <t>222232FPQR-175693159-3600-54FPQR-175693159-3600</t>
  </si>
  <si>
    <t>HPP133626427</t>
  </si>
  <si>
    <t>8/27/2024</t>
  </si>
  <si>
    <t>222232FPQR-175773306-3601-54FPQR-175773306-3601</t>
  </si>
  <si>
    <t>HPP193823020</t>
  </si>
  <si>
    <t>222232FPQR-175911511-3602-54FPQR-175911511-3602</t>
  </si>
  <si>
    <t>HPP025940727</t>
  </si>
  <si>
    <t>222232FPQR-176032200-3603-54FPQR-176032200-3603</t>
  </si>
  <si>
    <t>HPP121302217</t>
  </si>
  <si>
    <t>222232FPQR-176113587-3604-54FPQR-176113587-3604</t>
  </si>
  <si>
    <t>HPP172636627</t>
  </si>
  <si>
    <t>AAVIK IMPEX PVT LTDINC:ECC 259226</t>
  </si>
  <si>
    <t>NIBL3030320531</t>
  </si>
  <si>
    <t>8/28/2024</t>
  </si>
  <si>
    <t>222232FPQR-176452511-3607-54FPQR-176452511-3607</t>
  </si>
  <si>
    <t>HPP175435143</t>
  </si>
  <si>
    <t>ASIAN PAINTS NEPAL PVT LTDINC:ECC 261505</t>
  </si>
  <si>
    <t>8/29/2024</t>
  </si>
  <si>
    <t>222232FPQR-176711088-3609-54FPQR-176711088-3609</t>
  </si>
  <si>
    <t>HPP132114093</t>
  </si>
  <si>
    <t>222232FPQR-176791837-3610-54FPQR-176791837-3610</t>
  </si>
  <si>
    <t>HPP182104813</t>
  </si>
  <si>
    <t>ADBL30634629</t>
  </si>
  <si>
    <t>ADBL30634629 UNRLZ</t>
  </si>
  <si>
    <t>8/30/2024</t>
  </si>
  <si>
    <t>222232FPQR-176931492-3611-54FPQR-176931492-3611</t>
  </si>
  <si>
    <t>HPP041619500</t>
  </si>
  <si>
    <t>222232FPQR-177050781-3612-54FPQR-177050781-3612</t>
  </si>
  <si>
    <t>HPP114215917</t>
  </si>
  <si>
    <t>914957THE G.S. TRADE NPRK0452 Npr10673-CIPS</t>
  </si>
  <si>
    <t>HPP152734357</t>
  </si>
  <si>
    <t>CHQ DEP-THE GS TRADE</t>
  </si>
  <si>
    <t>8/31/2024</t>
  </si>
  <si>
    <t>222232FPQR-177131699-3613-54FPQR-177131699-3613</t>
  </si>
  <si>
    <t>HPP193026887</t>
  </si>
  <si>
    <t>222232FPQR-177464392-3616-54FPQR-177464392-3616</t>
  </si>
  <si>
    <t>HPP175806710</t>
  </si>
  <si>
    <t>222232FPQR-177741705-3619-54FPQR-177741705-3619</t>
  </si>
  <si>
    <t>HPP183809170</t>
  </si>
  <si>
    <t>TERAI TRADERSCLG TFR 261515</t>
  </si>
  <si>
    <t>222232FPQR-177883484-3620-54FPQR-177883484-3620</t>
  </si>
  <si>
    <t>HPP044846817</t>
  </si>
  <si>
    <t>222232FPQR-178001640-3621-54FPQR-178001640-3621</t>
  </si>
  <si>
    <t>HPP144759127</t>
  </si>
  <si>
    <t>222232FPQR-178081781-3622-54FPQR-178081781-3622</t>
  </si>
  <si>
    <t>HPP181255483</t>
  </si>
  <si>
    <t>CITIZENS30483903</t>
  </si>
  <si>
    <t>NIBL3030377906</t>
  </si>
  <si>
    <t>PBL46184634</t>
  </si>
  <si>
    <t>252807sapati ACCOUNTFT:RAJENDRA SHRESTHA-CIPS</t>
  </si>
  <si>
    <t>HPP164938160</t>
  </si>
  <si>
    <t>257497THE G.S. TRADE NPRK0452 NPR10673-CIPS</t>
  </si>
  <si>
    <t>HPP165444807</t>
  </si>
  <si>
    <t>222232FPQR-178420586-3625-FPQR-178420586-3625:OFF</t>
  </si>
  <si>
    <t>HPP194958950</t>
  </si>
  <si>
    <t>222232FPQR-178560169-3626-54FPQR-178560169-3626</t>
  </si>
  <si>
    <t>HPP034804140</t>
  </si>
  <si>
    <t>222232FPQR-178678857-3627-54FPQR-178678857-3627</t>
  </si>
  <si>
    <t>HPP134827567</t>
  </si>
  <si>
    <t>222232FPQR-178760376-3628-54FPQR-178760376-3628</t>
  </si>
  <si>
    <t>HPP182625507</t>
  </si>
  <si>
    <t>CIB CHARGE</t>
  </si>
  <si>
    <t>PBL48115442</t>
  </si>
  <si>
    <t>222232FPQR-178899750-3629-54FPQR-178899750-3629</t>
  </si>
  <si>
    <t>HPP024653797</t>
  </si>
  <si>
    <t>222232FPQR-179099121-3631-54FPQR-179099121-3631</t>
  </si>
  <si>
    <t>HPP185100220</t>
  </si>
  <si>
    <t>ADBL34424585</t>
  </si>
  <si>
    <t>222232FPQR-179238295-3632-54FPQR-179238295-3632</t>
  </si>
  <si>
    <t>HPP030438043</t>
  </si>
  <si>
    <t>222232FPQR-179353412-3633-54FPQR-179353412-3633</t>
  </si>
  <si>
    <t>HPP130703700</t>
  </si>
  <si>
    <t>15335HBL-1725690585397-1 Ramesh Napit-CIPS</t>
  </si>
  <si>
    <t>HPP121904993</t>
  </si>
  <si>
    <t>222232FPQR-179398801-3634-FPQR-179398801-3634:OFF</t>
  </si>
  <si>
    <t>HPP164723080</t>
  </si>
  <si>
    <t>222232FPQR-179471483-3635-54FPQR-179471483-3635</t>
  </si>
  <si>
    <t>HPP030424333</t>
  </si>
  <si>
    <t>222232FPQR-179668843-3637-54FPQR-179668843-3637</t>
  </si>
  <si>
    <t>HPP180053057</t>
  </si>
  <si>
    <t>222232FPQR-179865964-3639-54FPQR-179865964-3639</t>
  </si>
  <si>
    <t>HPP124803717</t>
  </si>
  <si>
    <t>222232FPQR-179946458-3640-54FPQR-179946458-3640</t>
  </si>
  <si>
    <t>HPP171240667</t>
  </si>
  <si>
    <t>HTE162710</t>
  </si>
  <si>
    <t>NEW KASAJU ENTERPRISESCLG TFR 261516</t>
  </si>
  <si>
    <t>TERAI TRADERSCLG TFR 261517</t>
  </si>
  <si>
    <t>222232FPQR-180086940-3641-54FPQR-180086940-3641</t>
  </si>
  <si>
    <t>HPP043135970</t>
  </si>
  <si>
    <t>222232FPQR-180205627-3642-54FPQR-180205627-3642</t>
  </si>
  <si>
    <t>HPP122015590</t>
  </si>
  <si>
    <t>222232FPQR-180285870-3643-54FPQR-180285870-3643</t>
  </si>
  <si>
    <t>HPP165543783</t>
  </si>
  <si>
    <t>HTE181826</t>
  </si>
  <si>
    <t>RBB53015651</t>
  </si>
  <si>
    <t>HTE181820</t>
  </si>
  <si>
    <t>131730THE G.S. TRADE NPRK0452 NPR10673-CIPS</t>
  </si>
  <si>
    <t>HPP142233167</t>
  </si>
  <si>
    <t>222232FPQR-180426120-3644-54FPQR-180426120-3644</t>
  </si>
  <si>
    <t>HPP032741883</t>
  </si>
  <si>
    <t>222232FPQR-180544983-3645-54FPQR-180544983-3645</t>
  </si>
  <si>
    <t>HPP130534327</t>
  </si>
  <si>
    <t>222232FPQR-180625118-3646-54FPQR-180625118-3646</t>
  </si>
  <si>
    <t>HPP174802653</t>
  </si>
  <si>
    <t>29506820240910SCBLNPKABRT0004720 NP2409100064660959-CIPS</t>
  </si>
  <si>
    <t>HPP190943133</t>
  </si>
  <si>
    <t>ASIAN PAINTS NEPAL PVT LTDINC:ECC 261508</t>
  </si>
  <si>
    <t>HTE171001</t>
  </si>
  <si>
    <t>NICA66448197</t>
  </si>
  <si>
    <t>HTE170953</t>
  </si>
  <si>
    <t>222232FPQR-180765914-3647-54FPQR-180765914-3647</t>
  </si>
  <si>
    <t>HPP041004330</t>
  </si>
  <si>
    <t>222232FPQR-180884261-3648-54FPQR-180884261-3648</t>
  </si>
  <si>
    <t>HPP120627970</t>
  </si>
  <si>
    <t>222232FPQR-180964764-3649-54FPQR-180964764-3649</t>
  </si>
  <si>
    <t>HPP184921083</t>
  </si>
  <si>
    <t>44699120240911SCBLNPKABRT0001524 NP2409110064671182-CIPS</t>
  </si>
  <si>
    <t>HPP113833600</t>
  </si>
  <si>
    <t>HTE174722</t>
  </si>
  <si>
    <t>222232FPQR-181105210-3650-54FPQR-181105210-3650</t>
  </si>
  <si>
    <t>HPP025805310</t>
  </si>
  <si>
    <t>222232FPQR-181222457-3651-54FPQR-181222457-3651</t>
  </si>
  <si>
    <t>HPP124517500</t>
  </si>
  <si>
    <t>222232FPQR-181303362-3652-54FPQR-181303362-3652</t>
  </si>
  <si>
    <t>HPP190528030</t>
  </si>
  <si>
    <t>23839THE G.S. TRADE NPRK0452 NPR10673-CIPS</t>
  </si>
  <si>
    <t>HPP172632490</t>
  </si>
  <si>
    <t>CITIZENS10172087</t>
  </si>
  <si>
    <t>CITIZENS10172087UNRL</t>
  </si>
  <si>
    <t>DEP CHQ.-GYANENDRA SHRESTHA</t>
  </si>
  <si>
    <t>PBL46184636</t>
  </si>
  <si>
    <t>9/13/2024</t>
  </si>
  <si>
    <t>222232FPQR-181443714-3653-54FPQR-181443714-3653</t>
  </si>
  <si>
    <t>HPP031815527</t>
  </si>
  <si>
    <t>222232FPQR-181562108-3654-54FPQR-181562108-3654</t>
  </si>
  <si>
    <t>HPP114425127</t>
  </si>
  <si>
    <t>357117THE G.S. TRADE NPRK0452 NPR10673-CIPS</t>
  </si>
  <si>
    <t>HPP171823303</t>
  </si>
  <si>
    <t>HTE140512</t>
  </si>
  <si>
    <t>9/14/2024</t>
  </si>
  <si>
    <t>222232FPQR-181643169-3655-54FPQR-181643169-3655</t>
  </si>
  <si>
    <t>HPP182810737</t>
  </si>
  <si>
    <t>222232FPQR-181783420-3656-54FPQR-181783420-3656</t>
  </si>
  <si>
    <t>HPP030239927</t>
  </si>
  <si>
    <t>9/15/2024</t>
  </si>
  <si>
    <t>222232FPQR-181976057-3658-54FPQR-181976057-3658</t>
  </si>
  <si>
    <t>HPP185421793</t>
  </si>
  <si>
    <t>222232FPQR-182172921-3660-54FPQR-182172921-3660</t>
  </si>
  <si>
    <t>HPP130508497</t>
  </si>
  <si>
    <t>222232FPQR-182254640-3661-54FPQR-182254640-3661</t>
  </si>
  <si>
    <t>HPP180629237</t>
  </si>
  <si>
    <t>939974THE G.S. TRADE NPRK0452 NPR10673-CIPS</t>
  </si>
  <si>
    <t>HPP173352337</t>
  </si>
  <si>
    <t>ADBL30755085</t>
  </si>
  <si>
    <t>CITIZENS22264060</t>
  </si>
  <si>
    <t>CITIZENS22264060UNRL</t>
  </si>
  <si>
    <t>CITIZENS22264060UNRLZ</t>
  </si>
  <si>
    <t>DEP CHQ.-RAJENDRA SHRESTHA</t>
  </si>
  <si>
    <t>HIMALAYAN EVEREST INSURANCE LIMITEDHOME CHQ. 261520</t>
  </si>
  <si>
    <t>REV &amp; ADJ</t>
  </si>
  <si>
    <t>SANIMA20428287</t>
  </si>
  <si>
    <t>SIFL522471</t>
  </si>
  <si>
    <t>TERAI TRADERSINC:ECC 261518</t>
  </si>
  <si>
    <t>9/16/2024</t>
  </si>
  <si>
    <t>201044THE G.S. TRADE NPRK0452 NPR10673-CIPS</t>
  </si>
  <si>
    <t>HPP134335480</t>
  </si>
  <si>
    <t>222232FPQR-182393828-3662-54FPQR-182393828-3662</t>
  </si>
  <si>
    <t>HPP030320900</t>
  </si>
  <si>
    <t>222232FPQR-182593199-3664-54FPQR-182593199-3664</t>
  </si>
  <si>
    <t>HPP181600963</t>
  </si>
  <si>
    <t>268440SCBLNPKA-ASIAN PAINTS NEPAL PVT LTDICFC240916O08702-RTGS</t>
  </si>
  <si>
    <t>HPP160026930</t>
  </si>
  <si>
    <t>LOAN DISBURSED</t>
  </si>
  <si>
    <t>SERVICE CHRG</t>
  </si>
  <si>
    <t>9/17/2024</t>
  </si>
  <si>
    <t>222232FPQR-182733278-3665-54FPQR-182733278-3665</t>
  </si>
  <si>
    <t>HPP031054950</t>
  </si>
  <si>
    <t>222232FPQR-182930847-3667-54FPQR-182930847-3667</t>
  </si>
  <si>
    <t>HPP175816493</t>
  </si>
  <si>
    <t>9/18/2024</t>
  </si>
  <si>
    <t>222232FPQR-183070247-3668-54FPQR-183070247-3668</t>
  </si>
  <si>
    <t>HPP023607480</t>
  </si>
  <si>
    <t>222232FPQR-183190735-3669-54FPQR-183190735-3669</t>
  </si>
  <si>
    <t>HPP115915740</t>
  </si>
  <si>
    <t>222232FPQR-183270973-3670-54FPQR-183270973-3670</t>
  </si>
  <si>
    <t>HPP192114863</t>
  </si>
  <si>
    <t>ADBL33495415</t>
  </si>
  <si>
    <t>Int to : 00414500049571000004from : 15/07/24Normal Int</t>
  </si>
  <si>
    <t>RENEW CHARGE</t>
  </si>
  <si>
    <t>9/19/2024</t>
  </si>
  <si>
    <t>222232FPQR-183411572-3671-54FPQR-183411572-3671</t>
  </si>
  <si>
    <t>HPP031549210</t>
  </si>
  <si>
    <t>9/20/2024</t>
  </si>
  <si>
    <t>222232FPQR-183609855-3673-FPQR-183609855-3673:OFF</t>
  </si>
  <si>
    <t>HPP182458533</t>
  </si>
  <si>
    <t>222232FPQR-183750424-3674-54FPQR-183750424-3674</t>
  </si>
  <si>
    <t>HPP030847483</t>
  </si>
  <si>
    <t>222232FPQR-183869140-3675-54FPQR-183869140-3675</t>
  </si>
  <si>
    <t>HPP133811943</t>
  </si>
  <si>
    <t>9/21/2024</t>
  </si>
  <si>
    <t>222232FPQR-183950322-3676-FPQR-183950322-3676:OFF</t>
  </si>
  <si>
    <t>HPP185810213</t>
  </si>
  <si>
    <t>222232FPQR-184089905-3677-54FPQR-184089905-3677</t>
  </si>
  <si>
    <t>HPP034340163</t>
  </si>
  <si>
    <t>9/22/2024</t>
  </si>
  <si>
    <t>222232FPQR-184283633-3679-54FPQR-184283633-3679</t>
  </si>
  <si>
    <t>HPP184724803</t>
  </si>
  <si>
    <t>222232FPQR-184480016-3681-54FPQR-184480016-3681</t>
  </si>
  <si>
    <t>HPP140044087</t>
  </si>
  <si>
    <t>222232FPQR-184561798-3682-54FPQR-184561798-3682</t>
  </si>
  <si>
    <t>HPP171513720</t>
  </si>
  <si>
    <t>29183020240922SCBLNPKABRT0003386 NP2409220064875956-CIPS</t>
  </si>
  <si>
    <t>HPP130107293</t>
  </si>
  <si>
    <t>9/23/2024</t>
  </si>
  <si>
    <t>222232FPQR-184701957-3683-54FPQR-184701957-3683</t>
  </si>
  <si>
    <t>HPP020220270</t>
  </si>
  <si>
    <t>222232FPQR-184899898-3685-54FPQR-184899898-3685</t>
  </si>
  <si>
    <t>HPP174746630</t>
  </si>
  <si>
    <t>ASIAN PAINTS NEPAL PVT LTDINC:ECC 261512</t>
  </si>
  <si>
    <t>HBL40725757</t>
  </si>
  <si>
    <t>NABIL0046303383 UNRLZ</t>
  </si>
  <si>
    <t>NABIL46303383</t>
  </si>
  <si>
    <t>NABIL46303385</t>
  </si>
  <si>
    <t>NABIL46303385UNRLZ</t>
  </si>
  <si>
    <t>NIBL3029410082</t>
  </si>
  <si>
    <t>NIBL3030381603</t>
  </si>
  <si>
    <t>SIDBL43432366</t>
  </si>
  <si>
    <t>TERAI TRADERSINC:ECC 261521</t>
  </si>
  <si>
    <t>9/24/2024</t>
  </si>
  <si>
    <t>222232FPQR-185040711-3686-54FPQR-185040711-3686</t>
  </si>
  <si>
    <t>HPP021540540</t>
  </si>
  <si>
    <t>222232FPQR-185158594-3687-54FPQR-185158594-3687</t>
  </si>
  <si>
    <t>HPP115413360</t>
  </si>
  <si>
    <t>222232FPQR-185239367-3688-54FPQR-185239367-3688</t>
  </si>
  <si>
    <t>HPP163802463</t>
  </si>
  <si>
    <t>LOAN REPAYfor : 004145000495</t>
  </si>
  <si>
    <t>9/25/2024</t>
  </si>
  <si>
    <t>222232FPQR-185379257-3689-54FPQR-185379257-3689</t>
  </si>
  <si>
    <t>HPP014918480</t>
  </si>
  <si>
    <t>222232FPQR-185578636-3691-54FPQR-185578636-3691</t>
  </si>
  <si>
    <t>HPP173934223</t>
  </si>
  <si>
    <t>849797pv 39 40 41 42 asian paints bishalnACCOUNTFT:Pabin Karki-CIPS</t>
  </si>
  <si>
    <t>HPP162153313</t>
  </si>
  <si>
    <t>9/26/2024</t>
  </si>
  <si>
    <t>222232FPQR-185836705-3693-54FPQR-185836705-3693</t>
  </si>
  <si>
    <t>HPP115313270</t>
  </si>
  <si>
    <t>222232FPQR-185917576-3694-54FPQR-185917576-3694</t>
  </si>
  <si>
    <t>HPP163416050</t>
  </si>
  <si>
    <t>277866THE G.S. TRADE NPRK0452 Npr10673-CIPS</t>
  </si>
  <si>
    <t>HPP165155973</t>
  </si>
  <si>
    <t>934421304422500 THE G.S TR2081-2351615/3050435:OFF</t>
  </si>
  <si>
    <t>HPP191447113</t>
  </si>
  <si>
    <t>DEP-SAJAN SULU</t>
  </si>
  <si>
    <t>K R P INTERNATIONAL TRADE PVT LTDINC:ECC 261528</t>
  </si>
  <si>
    <t>9/27/2024</t>
  </si>
  <si>
    <t>222232FPQR-186057224-3695-54FPQR-186057224-3695</t>
  </si>
  <si>
    <t>HPP020024917</t>
  </si>
  <si>
    <t>222232FPQR-186171952-3696-54FPQR-186171952-3696</t>
  </si>
  <si>
    <t>HPP114217863</t>
  </si>
  <si>
    <t>9/28/2024</t>
  </si>
  <si>
    <t>222232FPQR-186217535-3697-FPQR-186217535-3697:OFF</t>
  </si>
  <si>
    <t>HPP175907013</t>
  </si>
  <si>
    <t>222232FPQR-186291290-3698-54FPQR-186291290-3698</t>
  </si>
  <si>
    <t>HPP020355430</t>
  </si>
  <si>
    <t>9/29/2024</t>
  </si>
  <si>
    <t>222232FPQR-186451895-3700-FPQR-186451895-3700:OFF</t>
  </si>
  <si>
    <t>HPP173301170</t>
  </si>
  <si>
    <t>222232FPQR-186650838-3702-54FPQR-186650838-3702</t>
  </si>
  <si>
    <t>HPP111447453</t>
  </si>
  <si>
    <t>222232FPQR-186733167-3703-54FPQR-186733167-3703</t>
  </si>
  <si>
    <t>HPP174618547</t>
  </si>
  <si>
    <t>DEP CHQ.-THE G.S TRADE</t>
  </si>
  <si>
    <t>NEW KASAJU ENTERPRISESINC:ECC 261529</t>
  </si>
  <si>
    <t>Salary Bhadra 2081</t>
  </si>
  <si>
    <t>Salary Shrawan 2081</t>
  </si>
  <si>
    <t>9/30/2024</t>
  </si>
  <si>
    <t>222232FPQR-186873256-3704-54FPQR-186873256-3704</t>
  </si>
  <si>
    <t>HPP025908533</t>
  </si>
  <si>
    <t>222232FPQR-186990705-3705-54FPQR-186990705-3705</t>
  </si>
  <si>
    <t>HPP124723443</t>
  </si>
  <si>
    <t>222232FPQR-187072037-3706-54FPQR-187072037-3706</t>
  </si>
  <si>
    <t>HPP174831267</t>
  </si>
  <si>
    <t>978219THE G.S. TRADE NPRK0452 NPR10673-CIPS</t>
  </si>
  <si>
    <t>HPP152208887</t>
  </si>
  <si>
    <t>CITIZENS30483912</t>
  </si>
  <si>
    <t>CITIZENS30483919</t>
  </si>
  <si>
    <t>222232FPQR-187212009-3707-54FPQR-187212009-3707</t>
  </si>
  <si>
    <t>HPP023206473</t>
  </si>
  <si>
    <t>222232FPQR-187411609-3709-54FPQR-187411609-3709</t>
  </si>
  <si>
    <t>HPP170518167</t>
  </si>
  <si>
    <t>222232FPQR-187552020-3710-54FPQR-187552020-3710</t>
  </si>
  <si>
    <t>HPP022048390</t>
  </si>
  <si>
    <t>222232FPQR-187669329-3711-54FPQR-187669329-3711</t>
  </si>
  <si>
    <t>HPP115207667</t>
  </si>
  <si>
    <t>222232FPQR-187751616-3712-54FPQR-187751616-3712</t>
  </si>
  <si>
    <t>HPP172200157</t>
  </si>
  <si>
    <t>418555THE G.S. TRADE NPRK0452 NPR10673-CIPS</t>
  </si>
  <si>
    <t>HPP172813093</t>
  </si>
  <si>
    <t>541594Pymt for color paint ACCOUNTFT:Bijaya Prakash Sainj-CIPS</t>
  </si>
  <si>
    <t>HPP201128867</t>
  </si>
  <si>
    <t>222232FPQR-188007968-3714-54FPQR-188007968-3714</t>
  </si>
  <si>
    <t>HPP122230250</t>
  </si>
  <si>
    <t>1932Colour ACCOUNTFT:D.Construction and S-CIPS</t>
  </si>
  <si>
    <t>HPP160100710</t>
  </si>
  <si>
    <t>222232FPQR-188090974-3715-FPQR-188090974-3715:OFF</t>
  </si>
  <si>
    <t>HPP165208500</t>
  </si>
  <si>
    <t>222232FPQR-188230341-3716-54FPQR-188230341-3716</t>
  </si>
  <si>
    <t>HPP030004717</t>
  </si>
  <si>
    <t>222232FPQR-188430995-3718-54FPQR-188430995-3718</t>
  </si>
  <si>
    <t>HPP174449160</t>
  </si>
  <si>
    <t>NABIL46303385 UNRLZ</t>
  </si>
  <si>
    <t>NABIL46303385EARTH C AND HI TECH</t>
  </si>
  <si>
    <t>222232FPQR-188570426-3719-54FPQR-188570426-3719</t>
  </si>
  <si>
    <t>HPP022555443</t>
  </si>
  <si>
    <t>222232FPQR-188686536-3720-54FPQR-188686536-3720</t>
  </si>
  <si>
    <t>HPP115906663</t>
  </si>
  <si>
    <t>692323Due for Asian Paints ACCOUNTFT:Bijaya Prakash Sainj-CIPS</t>
  </si>
  <si>
    <t>HPP111019447</t>
  </si>
  <si>
    <t>222232FPQR-188767224-3721-54FPQR-188767224-3721</t>
  </si>
  <si>
    <t>HPP175319223</t>
  </si>
  <si>
    <t>222232FPQR-189026606-3723-54FPQR-189026606-3723</t>
  </si>
  <si>
    <t>HPP112426827</t>
  </si>
  <si>
    <t>222232FPQR-189110266-3724-54FPQR-189110266-3724</t>
  </si>
  <si>
    <t>HPP172040383</t>
  </si>
  <si>
    <t>Dashain 2081 Salary</t>
  </si>
  <si>
    <t>TERAI TRADERSINC:ECC 261539</t>
  </si>
  <si>
    <t>222232FPQR-189249161-3725-54FPQR-189249161-3725</t>
  </si>
  <si>
    <t>HPP014546587</t>
  </si>
  <si>
    <t>222232FPQR-189366131-3726-54FPQR-189366131-3726</t>
  </si>
  <si>
    <t>HPP111757663</t>
  </si>
  <si>
    <t>222232FPQR-189448775-3727-54FPQR-189448775-3727</t>
  </si>
  <si>
    <t>HPP171110787</t>
  </si>
  <si>
    <t>567086THE G.S. TRADE NPRK0452 NPR10673-CIPS</t>
  </si>
  <si>
    <t>HPP180011717</t>
  </si>
  <si>
    <t>CITIZENS30483918J K INTERNATIONAL TR</t>
  </si>
  <si>
    <t>End of List</t>
  </si>
  <si>
    <t>©2008 ICFC FINANCE LIMITED</t>
  </si>
  <si>
    <t>Powered by Pumori Plus</t>
  </si>
  <si>
    <t>SPRAY PAINT/ (RGB)</t>
  </si>
  <si>
    <t>WEMBLEY S SEALER</t>
  </si>
  <si>
    <t>SUNLAC EPOXY PRIMER</t>
  </si>
  <si>
    <t>SUNLAC MELAMINE SEALER</t>
  </si>
  <si>
    <t>SUNLAC MELAMINE GLOSS</t>
  </si>
  <si>
    <t>SUNLAC MELAMINE MATT</t>
  </si>
  <si>
    <t>sunlac slicon thinner base</t>
  </si>
  <si>
    <t>sunlight slicon water base</t>
  </si>
  <si>
    <t>SUNLAC NC THINNER</t>
  </si>
  <si>
    <t>SUNLAC EPOXY ALL COLOR</t>
  </si>
  <si>
    <t>paitn brush 25/50/75mm 35/70/105</t>
  </si>
  <si>
    <t>mamal cloth 65</t>
  </si>
  <si>
    <t>abbrasive water paper 22</t>
  </si>
  <si>
    <t>masking tape 1" 44</t>
  </si>
  <si>
    <t>tarpin oil  239</t>
  </si>
  <si>
    <t>abbrasive roll paper 17</t>
  </si>
  <si>
    <t>paint roller 7" 177</t>
  </si>
  <si>
    <t>wire brush 49</t>
  </si>
  <si>
    <t>Date</t>
  </si>
  <si>
    <t>DR Amount</t>
  </si>
  <si>
    <t>CR Amount</t>
  </si>
  <si>
    <t>Balance Amount</t>
  </si>
  <si>
    <t>Site</t>
  </si>
  <si>
    <t>Dinesh shrestha</t>
  </si>
  <si>
    <t>suncity</t>
  </si>
  <si>
    <t>cheque</t>
  </si>
  <si>
    <t>cash return</t>
  </si>
  <si>
    <t>discount</t>
  </si>
  <si>
    <t>kharipati</t>
  </si>
  <si>
    <t>cheque return</t>
  </si>
  <si>
    <t>BASE WOOD POLISH (CHAPRA)</t>
  </si>
  <si>
    <t>PGE GRI   (Brown black some grey)</t>
  </si>
  <si>
    <t>PGE GRII (gol yellow sing red bus green)</t>
  </si>
  <si>
    <t>Dr. Crack paste</t>
  </si>
  <si>
    <t>ROYALE BASE COAT</t>
  </si>
  <si>
    <t>base wood polish 487</t>
  </si>
  <si>
    <t>LATEX XTREME</t>
  </si>
  <si>
    <t>SCRAPER (JK) GURUMALA</t>
  </si>
  <si>
    <t>PERISH BLADE WITH HANDLE</t>
  </si>
  <si>
    <t>GURUMALA</t>
  </si>
  <si>
    <t>APEX ULTIMA HQ16/17</t>
  </si>
  <si>
    <t>APEX ULTIMA HQ2/6</t>
  </si>
  <si>
    <t>APEX ULTIMA HQ15</t>
  </si>
  <si>
    <t>ACE AC17/18</t>
  </si>
  <si>
    <t>ACE AC1/6</t>
  </si>
  <si>
    <t>APEX AB10/17/18</t>
  </si>
  <si>
    <t>APEX AB2/6</t>
  </si>
  <si>
    <t>ROYAL YTB/RTB</t>
  </si>
  <si>
    <t xml:space="preserve">  AMC HD RED 01</t>
  </si>
  <si>
    <t>1" A1 BRUSH</t>
  </si>
  <si>
    <t>25MM</t>
  </si>
  <si>
    <t>1" B1 BRUSH</t>
  </si>
  <si>
    <t>1" BD BRUSH</t>
  </si>
  <si>
    <t>1" AD BRUSH</t>
  </si>
  <si>
    <t>1" 055 BRUSH</t>
  </si>
  <si>
    <t>1" 044 BRUSH</t>
  </si>
  <si>
    <t>SUNLAC T.T CLEAR (LAQUER)</t>
  </si>
  <si>
    <t>SALT CLEAN</t>
  </si>
  <si>
    <t>target</t>
  </si>
  <si>
    <t>till date</t>
  </si>
  <si>
    <t>remeaning</t>
  </si>
  <si>
    <t>enamel</t>
  </si>
  <si>
    <t>wpcc</t>
  </si>
  <si>
    <t>prelux</t>
  </si>
  <si>
    <t>economy</t>
  </si>
  <si>
    <t>collection</t>
  </si>
  <si>
    <t>pdc</t>
  </si>
  <si>
    <t>20lakh</t>
  </si>
  <si>
    <t>pen brush 7-12 FM</t>
  </si>
  <si>
    <t>fevimate/Tile Mate/Grout</t>
  </si>
  <si>
    <t>biswasilo consturction</t>
  </si>
  <si>
    <t>w/p</t>
  </si>
  <si>
    <t>dcpm</t>
  </si>
  <si>
    <t>Damp proof</t>
  </si>
  <si>
    <t>te</t>
  </si>
  <si>
    <t>pge</t>
  </si>
  <si>
    <t>ta</t>
  </si>
  <si>
    <t>hq</t>
  </si>
  <si>
    <t>ext primer</t>
  </si>
  <si>
    <t>RB</t>
  </si>
  <si>
    <t>BW</t>
  </si>
  <si>
    <t>neo</t>
  </si>
  <si>
    <t>2+2</t>
  </si>
  <si>
    <t>1+20</t>
  </si>
  <si>
    <t>21+30+4+3+30+2+6+14</t>
  </si>
  <si>
    <t>21+4+2</t>
  </si>
  <si>
    <t>60+80+40+20+20</t>
  </si>
  <si>
    <t>40+20+20</t>
  </si>
  <si>
    <t>10+41+1+20+48+20</t>
  </si>
  <si>
    <t>PS</t>
  </si>
  <si>
    <t>10+20+1+4+81+34+10</t>
  </si>
  <si>
    <t>240+800+240+80+600+200+40</t>
  </si>
  <si>
    <t>4+60+420+80+2+20+40+12+20</t>
  </si>
  <si>
    <t>4+5+1+1+3+4+5+1+2+4+2+4+2+44</t>
  </si>
  <si>
    <t xml:space="preserve">PERISH BLADE </t>
  </si>
  <si>
    <t>ROYAL BLING BL2</t>
  </si>
  <si>
    <t>AMC EXTERIOR YELLOW</t>
  </si>
  <si>
    <t>pen brush 14 FM</t>
  </si>
  <si>
    <t>pen brush 16 FM</t>
  </si>
  <si>
    <t>720-15%</t>
  </si>
  <si>
    <t>955-15%</t>
  </si>
  <si>
    <t>1750-15%</t>
  </si>
  <si>
    <t>2175-15%</t>
  </si>
  <si>
    <t>TRACTOR UNO DISTEMPER UD1</t>
  </si>
  <si>
    <t xml:space="preserve">  </t>
  </si>
  <si>
    <t xml:space="preserve">Product Name </t>
  </si>
  <si>
    <t>Bucket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</si>
</sst>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"/>
    </font>
    <font>
      <b/>
      <sz val="10"/>
      <color theme="1"/>
      <name val="Arial"/>
      <family val="2"/>
    </font>
    <font>
      <sz val="7.5"/>
      <color rgb="FF000000"/>
      <name val="Verdana"/>
      <family val="2"/>
    </font>
    <font>
      <sz val="11"/>
      <color theme="1"/>
      <name val="Times New Roman"/>
      <family val="1"/>
    </font>
    <font>
      <b/>
      <sz val="7.5"/>
      <color rgb="FFFFFFFF"/>
      <name val="Verdana"/>
      <family val="2"/>
    </font>
    <font>
      <b/>
      <sz val="10"/>
      <color rgb="FF0000FF"/>
      <name val="Verdana"/>
      <family val="2"/>
    </font>
    <font>
      <i/>
      <sz val="7.5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4682B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2" fillId="0" borderId="1" xfId="1" applyNumberFormat="1" applyFont="1" applyBorder="1" applyAlignment="1">
      <alignment horizontal="right" vertical="top"/>
    </xf>
    <xf numFmtId="0" fontId="0" fillId="3" borderId="1" xfId="0" applyFill="1" applyBorder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left" indent="1"/>
    </xf>
    <xf numFmtId="4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 inden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6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left" inden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1" fillId="0" borderId="1" xfId="1" applyNumberFormat="1" applyFont="1" applyBorder="1" applyAlignment="1">
      <alignment horizontal="right" vertical="top"/>
    </xf>
    <xf numFmtId="0" fontId="0" fillId="0" borderId="0" xfId="0" applyAlignment="1">
      <alignment horizontal="center" textRotation="90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2" fillId="5" borderId="0" xfId="0" applyFont="1" applyFill="1" applyAlignment="1">
      <alignment horizontal="right"/>
    </xf>
    <xf numFmtId="14" fontId="11" fillId="0" borderId="1" xfId="0" quotePrefix="1" applyNumberFormat="1" applyFont="1" applyBorder="1" applyAlignment="1">
      <alignment horizontal="left" indent="1"/>
    </xf>
    <xf numFmtId="0" fontId="2" fillId="2" borderId="3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3" xfId="0" applyFill="1" applyBorder="1"/>
    <xf numFmtId="0" fontId="0" fillId="3" borderId="1" xfId="0" applyFill="1" applyBorder="1"/>
    <xf numFmtId="43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0" fontId="0" fillId="5" borderId="0" xfId="0" applyFill="1"/>
    <xf numFmtId="16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/>
    <xf numFmtId="1" fontId="0" fillId="0" borderId="1" xfId="0" applyNumberFormat="1" applyBorder="1"/>
    <xf numFmtId="9" fontId="0" fillId="0" borderId="1" xfId="0" applyNumberFormat="1" applyBorder="1"/>
    <xf numFmtId="0" fontId="0" fillId="2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49" fontId="0" fillId="0" borderId="1" xfId="0" applyNumberFormat="1" applyBorder="1"/>
    <xf numFmtId="9" fontId="0" fillId="0" borderId="1" xfId="2" applyFont="1" applyBorder="1"/>
    <xf numFmtId="10" fontId="0" fillId="0" borderId="0" xfId="2" applyNumberFormat="1" applyFont="1"/>
    <xf numFmtId="0" fontId="12" fillId="0" borderId="0" xfId="0" applyFont="1"/>
    <xf numFmtId="0" fontId="13" fillId="0" borderId="0" xfId="0" applyFont="1"/>
    <xf numFmtId="0" fontId="6" fillId="2" borderId="1" xfId="0" applyFont="1" applyFill="1" applyBorder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9" xfId="0" applyFont="1" applyBorder="1" applyAlignment="1">
      <alignment horizontal="right" wrapText="1"/>
    </xf>
    <xf numFmtId="0" fontId="14" fillId="0" borderId="9" xfId="0" applyFont="1" applyBorder="1" applyAlignment="1">
      <alignment vertical="center"/>
    </xf>
    <xf numFmtId="0" fontId="2" fillId="0" borderId="2" xfId="0" applyFont="1" applyBorder="1"/>
    <xf numFmtId="0" fontId="2" fillId="0" borderId="10" xfId="0" applyFont="1" applyBorder="1" applyAlignment="1">
      <alignment horizontal="left" indent="1"/>
    </xf>
    <xf numFmtId="0" fontId="2" fillId="0" borderId="10" xfId="0" applyFont="1" applyBorder="1"/>
    <xf numFmtId="0" fontId="0" fillId="0" borderId="10" xfId="0" applyBorder="1" applyAlignment="1">
      <alignment horizontal="right" vertical="top"/>
    </xf>
    <xf numFmtId="0" fontId="0" fillId="0" borderId="2" xfId="0" applyBorder="1"/>
    <xf numFmtId="14" fontId="15" fillId="9" borderId="11" xfId="0" applyNumberFormat="1" applyFont="1" applyFill="1" applyBorder="1" applyAlignment="1">
      <alignment wrapText="1"/>
    </xf>
    <xf numFmtId="0" fontId="15" fillId="9" borderId="12" xfId="0" applyFont="1" applyFill="1" applyBorder="1" applyAlignment="1">
      <alignment wrapText="1"/>
    </xf>
    <xf numFmtId="0" fontId="15" fillId="9" borderId="12" xfId="0" applyFont="1" applyFill="1" applyBorder="1" applyAlignment="1">
      <alignment horizontal="right" wrapText="1"/>
    </xf>
    <xf numFmtId="14" fontId="15" fillId="9" borderId="13" xfId="0" applyNumberFormat="1" applyFont="1" applyFill="1" applyBorder="1" applyAlignment="1">
      <alignment wrapText="1"/>
    </xf>
    <xf numFmtId="0" fontId="15" fillId="9" borderId="14" xfId="0" applyFont="1" applyFill="1" applyBorder="1" applyAlignment="1">
      <alignment wrapText="1"/>
    </xf>
    <xf numFmtId="0" fontId="15" fillId="9" borderId="14" xfId="0" applyFont="1" applyFill="1" applyBorder="1" applyAlignment="1">
      <alignment horizontal="right" wrapText="1"/>
    </xf>
    <xf numFmtId="0" fontId="16" fillId="0" borderId="15" xfId="0" applyFont="1" applyBorder="1" applyAlignment="1">
      <alignment horizontal="center" wrapText="1"/>
    </xf>
    <xf numFmtId="0" fontId="16" fillId="0" borderId="14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4" fillId="9" borderId="9" xfId="0" applyFont="1" applyFill="1" applyBorder="1" applyAlignment="1">
      <alignment wrapText="1"/>
    </xf>
    <xf numFmtId="0" fontId="14" fillId="0" borderId="13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10" borderId="14" xfId="0" applyFont="1" applyFill="1" applyBorder="1" applyAlignment="1">
      <alignment horizontal="right" wrapText="1"/>
    </xf>
    <xf numFmtId="0" fontId="14" fillId="0" borderId="14" xfId="0" applyFont="1" applyBorder="1" applyAlignment="1">
      <alignment horizontal="right" wrapText="1"/>
    </xf>
    <xf numFmtId="0" fontId="14" fillId="11" borderId="14" xfId="0" applyFont="1" applyFill="1" applyBorder="1" applyAlignment="1">
      <alignment horizontal="right" wrapText="1"/>
    </xf>
    <xf numFmtId="0" fontId="15" fillId="9" borderId="13" xfId="0" applyFont="1" applyFill="1" applyBorder="1" applyAlignment="1">
      <alignment wrapText="1"/>
    </xf>
    <xf numFmtId="0" fontId="14" fillId="9" borderId="15" xfId="0" applyFont="1" applyFill="1" applyBorder="1" applyAlignment="1">
      <alignment wrapText="1"/>
    </xf>
    <xf numFmtId="0" fontId="14" fillId="0" borderId="14" xfId="0" applyFont="1" applyBorder="1" applyAlignment="1">
      <alignment horizontal="center" wrapText="1"/>
    </xf>
    <xf numFmtId="0" fontId="14" fillId="9" borderId="13" xfId="0" applyFont="1" applyFill="1" applyBorder="1" applyAlignment="1">
      <alignment wrapText="1"/>
    </xf>
    <xf numFmtId="0" fontId="14" fillId="9" borderId="9" xfId="0" applyFont="1" applyFill="1" applyBorder="1" applyAlignment="1">
      <alignment vertical="center"/>
    </xf>
    <xf numFmtId="0" fontId="14" fillId="9" borderId="9" xfId="0" applyFont="1" applyFill="1" applyBorder="1" applyAlignment="1">
      <alignment horizontal="right" wrapText="1"/>
    </xf>
    <xf numFmtId="0" fontId="14" fillId="0" borderId="16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14" fontId="17" fillId="12" borderId="0" xfId="0" applyNumberFormat="1" applyFont="1" applyFill="1" applyAlignment="1">
      <alignment horizontal="left" vertical="center"/>
    </xf>
    <xf numFmtId="4" fontId="17" fillId="12" borderId="0" xfId="0" applyNumberFormat="1" applyFont="1" applyFill="1" applyAlignment="1">
      <alignment horizontal="right" vertical="center"/>
    </xf>
    <xf numFmtId="0" fontId="17" fillId="12" borderId="0" xfId="0" applyFont="1" applyFill="1" applyAlignment="1">
      <alignment horizontal="left" vertical="center"/>
    </xf>
    <xf numFmtId="14" fontId="17" fillId="9" borderId="0" xfId="0" applyNumberFormat="1" applyFont="1" applyFill="1" applyAlignment="1">
      <alignment horizontal="left" vertical="center"/>
    </xf>
    <xf numFmtId="4" fontId="17" fillId="9" borderId="0" xfId="0" applyNumberFormat="1" applyFont="1" applyFill="1" applyAlignment="1">
      <alignment horizontal="right" vertical="center"/>
    </xf>
    <xf numFmtId="0" fontId="17" fillId="9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right" vertical="center"/>
    </xf>
    <xf numFmtId="17" fontId="0" fillId="0" borderId="0" xfId="0" applyNumberFormat="1"/>
    <xf numFmtId="0" fontId="19" fillId="13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right" vertical="center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6" fillId="0" borderId="0" xfId="0" applyFont="1" applyAlignment="1">
      <alignment horizontal="left"/>
    </xf>
    <xf numFmtId="0" fontId="0" fillId="2" borderId="1" xfId="0" applyFill="1" applyBorder="1"/>
    <xf numFmtId="9" fontId="0" fillId="2" borderId="1" xfId="0" applyNumberFormat="1" applyFill="1" applyBorder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/>
    </xf>
    <xf numFmtId="49" fontId="2" fillId="7" borderId="5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2" fontId="2" fillId="7" borderId="3" xfId="0" applyNumberFormat="1" applyFont="1" applyFill="1" applyBorder="1" applyAlignment="1">
      <alignment horizontal="center"/>
    </xf>
    <xf numFmtId="2" fontId="2" fillId="7" borderId="4" xfId="0" applyNumberFormat="1" applyFont="1" applyFill="1" applyBorder="1" applyAlignment="1">
      <alignment horizontal="center"/>
    </xf>
    <xf numFmtId="2" fontId="2" fillId="7" borderId="5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2" fontId="2" fillId="7" borderId="7" xfId="0" applyNumberFormat="1" applyFont="1" applyFill="1" applyBorder="1" applyAlignment="1">
      <alignment horizontal="center"/>
    </xf>
    <xf numFmtId="2" fontId="2" fillId="7" borderId="8" xfId="0" applyNumberFormat="1" applyFont="1" applyFill="1" applyBorder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worksheet" Target="worksheets/sheet1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0</xdr:colOff>
      <xdr:row>21</xdr:row>
      <xdr:rowOff>142875</xdr:rowOff>
    </xdr:from>
    <xdr:to>
      <xdr:col>96</xdr:col>
      <xdr:colOff>304800</xdr:colOff>
      <xdr:row>128</xdr:row>
      <xdr:rowOff>180975</xdr:rowOff>
    </xdr:to>
    <xdr:pic>
      <xdr:nvPicPr>
        <xdr:cNvPr id="2" name="Picture 1" descr="C:\Users\hp\Downloads\IMG_4920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375" y="4143375"/>
          <a:ext cx="13306425" cy="2042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1"/>
  <sheetViews>
    <sheetView tabSelected="1" zoomScale="82" zoomScaleNormal="82" workbookViewId="0">
      <pane ySplit="1" topLeftCell="A2" activePane="bottomLeft" state="frozen"/>
      <selection activeCell="R22" sqref="R22"/>
      <selection pane="bottomLeft" activeCell="N20" sqref="N20"/>
    </sheetView>
  </sheetViews>
  <sheetFormatPr defaultRowHeight="15" x14ac:dyDescent="0.25"/>
  <cols>
    <col min="1" max="1" width="35.28515625" customWidth="1"/>
    <col min="2" max="2" width="11.5703125" style="10" bestFit="1" customWidth="1"/>
    <col min="3" max="3" width="8.28515625" style="11" bestFit="1" customWidth="1"/>
    <col min="4" max="4" width="13" style="11" bestFit="1" customWidth="1"/>
    <col min="5" max="5" width="7" style="11" bestFit="1" customWidth="1"/>
    <col min="6" max="6" width="8.5703125" style="12" bestFit="1" customWidth="1"/>
    <col min="7" max="7" width="10.28515625" style="11" hidden="1" customWidth="1"/>
    <col min="8" max="8" width="9" style="11" hidden="1" customWidth="1"/>
    <col min="9" max="9" width="11" style="11" bestFit="1" customWidth="1"/>
    <col min="10" max="10" width="12.28515625" customWidth="1"/>
    <col min="11" max="11" width="10" bestFit="1" customWidth="1"/>
    <col min="12" max="12" width="13.42578125" bestFit="1" customWidth="1"/>
  </cols>
  <sheetData>
    <row r="1" spans="1:4" s="2" customFormat="1" x14ac:dyDescent="0.25">
      <c r="A1" s="4" t="s">
        <v>3466</v>
      </c>
      <c r="B1" s="6" t="s">
        <v>3467</v>
      </c>
      <c r="C1" s="21" t="s">
        <v>1</v>
      </c>
      <c r="D1" s="22" t="s">
        <v>2</v>
      </c>
    </row>
    <row r="2" spans="1:4" ht="15" customHeight="1" x14ac:dyDescent="0.25">
      <c r="A2" s="13" t="s">
        <v>3405</v>
      </c>
      <c r="B2" s="19">
        <v>1</v>
      </c>
      <c r="C2" s="21">
        <v>450</v>
      </c>
      <c r="D2" s="23">
        <v>598</v>
      </c>
    </row>
    <row r="3" spans="1:4" x14ac:dyDescent="0.25">
      <c r="A3" s="13" t="s">
        <v>3405</v>
      </c>
      <c r="B3" s="19">
        <v>4</v>
      </c>
      <c r="C3" s="21">
        <v>1600</v>
      </c>
      <c r="D3" s="23">
        <v>2151</v>
      </c>
    </row>
    <row r="4" spans="1:4" x14ac:dyDescent="0.25">
      <c r="A4" s="13" t="s">
        <v>3405</v>
      </c>
      <c r="B4" s="19">
        <v>10</v>
      </c>
      <c r="C4" s="21">
        <v>3800</v>
      </c>
      <c r="D4" s="23">
        <v>4962</v>
      </c>
    </row>
    <row r="5" spans="1:4" x14ac:dyDescent="0.25">
      <c r="A5" s="13" t="s">
        <v>3405</v>
      </c>
      <c r="B5" s="19">
        <v>20</v>
      </c>
      <c r="C5" s="21">
        <v>7000</v>
      </c>
      <c r="D5" s="23">
        <v>9570</v>
      </c>
    </row>
    <row r="6" spans="1:4" x14ac:dyDescent="0.25">
      <c r="A6" s="13" t="s">
        <v>343</v>
      </c>
      <c r="B6" s="19">
        <v>0.97499999999999998</v>
      </c>
      <c r="C6" s="21"/>
      <c r="D6" s="23"/>
    </row>
    <row r="7" spans="1:4" x14ac:dyDescent="0.25">
      <c r="A7" s="13" t="s">
        <v>343</v>
      </c>
      <c r="B7" s="19">
        <v>3.9</v>
      </c>
      <c r="C7" s="21"/>
      <c r="D7" s="23"/>
    </row>
    <row r="8" spans="1:4" x14ac:dyDescent="0.25">
      <c r="A8" s="13" t="s">
        <v>343</v>
      </c>
      <c r="B8" s="19">
        <v>9.75</v>
      </c>
      <c r="C8" s="21"/>
      <c r="D8" s="23"/>
    </row>
    <row r="9" spans="1:4" x14ac:dyDescent="0.25">
      <c r="A9" s="13" t="s">
        <v>343</v>
      </c>
      <c r="B9" s="19">
        <v>19.5</v>
      </c>
      <c r="C9" s="21"/>
      <c r="D9" s="23"/>
    </row>
    <row r="10" spans="1:4" x14ac:dyDescent="0.25">
      <c r="A10" s="13" t="s">
        <v>3404</v>
      </c>
      <c r="B10" s="19">
        <v>0.92500000000000004</v>
      </c>
      <c r="C10" s="21"/>
      <c r="D10" s="23"/>
    </row>
    <row r="11" spans="1:4" x14ac:dyDescent="0.25">
      <c r="A11" s="13" t="s">
        <v>3404</v>
      </c>
      <c r="B11" s="19">
        <v>3.7</v>
      </c>
      <c r="C11" s="21"/>
      <c r="D11" s="23"/>
    </row>
    <row r="12" spans="1:4" x14ac:dyDescent="0.25">
      <c r="A12" s="13" t="s">
        <v>3404</v>
      </c>
      <c r="B12" s="19">
        <v>9.25</v>
      </c>
      <c r="C12" s="21"/>
      <c r="D12" s="23"/>
    </row>
    <row r="13" spans="1:4" x14ac:dyDescent="0.25">
      <c r="A13" s="13" t="s">
        <v>3404</v>
      </c>
      <c r="B13" s="19">
        <v>18.5</v>
      </c>
      <c r="C13" s="21"/>
      <c r="D13" s="23"/>
    </row>
    <row r="14" spans="1:4" x14ac:dyDescent="0.25">
      <c r="A14" s="13" t="s">
        <v>4</v>
      </c>
      <c r="B14" s="19">
        <v>0.97499999999999998</v>
      </c>
      <c r="C14" s="21"/>
      <c r="D14" s="23"/>
    </row>
    <row r="15" spans="1:4" x14ac:dyDescent="0.25">
      <c r="A15" s="13" t="s">
        <v>4</v>
      </c>
      <c r="B15" s="19">
        <v>3.9</v>
      </c>
      <c r="C15" s="21"/>
      <c r="D15" s="23"/>
    </row>
    <row r="16" spans="1:4" x14ac:dyDescent="0.25">
      <c r="A16" s="13" t="s">
        <v>4</v>
      </c>
      <c r="B16" s="19">
        <v>9.75</v>
      </c>
      <c r="C16" s="21"/>
      <c r="D16" s="23"/>
    </row>
    <row r="17" spans="1:4" x14ac:dyDescent="0.25">
      <c r="A17" s="13" t="s">
        <v>4</v>
      </c>
      <c r="B17" s="19">
        <v>19.5</v>
      </c>
      <c r="C17" s="21"/>
      <c r="D17" s="23"/>
    </row>
    <row r="18" spans="1:4" x14ac:dyDescent="0.25">
      <c r="A18" s="13"/>
      <c r="B18" s="19"/>
      <c r="C18" s="21"/>
      <c r="D18" s="23"/>
    </row>
    <row r="19" spans="1:4" x14ac:dyDescent="0.25">
      <c r="A19" s="13" t="s">
        <v>3407</v>
      </c>
      <c r="B19" s="19">
        <v>1</v>
      </c>
      <c r="C19" s="21">
        <v>800</v>
      </c>
      <c r="D19" s="23">
        <v>1107</v>
      </c>
    </row>
    <row r="20" spans="1:4" x14ac:dyDescent="0.25">
      <c r="A20" s="13" t="s">
        <v>3407</v>
      </c>
      <c r="B20" s="19">
        <v>4</v>
      </c>
      <c r="C20" s="21">
        <v>3000</v>
      </c>
      <c r="D20" s="23">
        <v>4215</v>
      </c>
    </row>
    <row r="21" spans="1:4" x14ac:dyDescent="0.25">
      <c r="A21" s="13" t="s">
        <v>3407</v>
      </c>
      <c r="B21" s="19">
        <v>10</v>
      </c>
      <c r="C21" s="21">
        <v>6800</v>
      </c>
      <c r="D21" s="23">
        <v>9919</v>
      </c>
    </row>
    <row r="22" spans="1:4" x14ac:dyDescent="0.25">
      <c r="A22" s="13" t="s">
        <v>3407</v>
      </c>
      <c r="B22" s="19">
        <v>20</v>
      </c>
      <c r="C22" s="21">
        <v>13500</v>
      </c>
      <c r="D22" s="23">
        <v>19517</v>
      </c>
    </row>
    <row r="23" spans="1:4" x14ac:dyDescent="0.25">
      <c r="A23" s="13" t="s">
        <v>3406</v>
      </c>
      <c r="B23" s="19">
        <v>0.97499999999999998</v>
      </c>
      <c r="C23" s="21"/>
      <c r="D23" s="23"/>
    </row>
    <row r="24" spans="1:4" x14ac:dyDescent="0.25">
      <c r="A24" s="13" t="s">
        <v>3406</v>
      </c>
      <c r="B24" s="19">
        <v>3.9</v>
      </c>
      <c r="C24" s="21"/>
      <c r="D24" s="23"/>
    </row>
    <row r="25" spans="1:4" x14ac:dyDescent="0.25">
      <c r="A25" s="13" t="s">
        <v>3406</v>
      </c>
      <c r="B25" s="19">
        <v>9.75</v>
      </c>
      <c r="C25" s="21"/>
      <c r="D25" s="23"/>
    </row>
    <row r="26" spans="1:4" x14ac:dyDescent="0.25">
      <c r="A26" s="13" t="s">
        <v>3406</v>
      </c>
      <c r="B26" s="19">
        <v>19.5</v>
      </c>
      <c r="C26" s="21"/>
      <c r="D26" s="23"/>
    </row>
    <row r="27" spans="1:4" x14ac:dyDescent="0.25">
      <c r="A27" s="13" t="s">
        <v>6</v>
      </c>
      <c r="B27" s="19">
        <v>0.97499999999999998</v>
      </c>
      <c r="C27" s="21"/>
      <c r="D27" s="23"/>
    </row>
    <row r="28" spans="1:4" x14ac:dyDescent="0.25">
      <c r="A28" s="13" t="s">
        <v>6</v>
      </c>
      <c r="B28" s="19">
        <v>3.9</v>
      </c>
      <c r="C28" s="21"/>
      <c r="D28" s="23"/>
    </row>
    <row r="29" spans="1:4" x14ac:dyDescent="0.25">
      <c r="A29" s="13" t="s">
        <v>6</v>
      </c>
      <c r="B29" s="19">
        <v>9.75</v>
      </c>
      <c r="C29" s="63"/>
      <c r="D29" s="23"/>
    </row>
    <row r="30" spans="1:4" x14ac:dyDescent="0.25">
      <c r="A30" s="13" t="s">
        <v>6</v>
      </c>
      <c r="B30" s="19">
        <v>19.5</v>
      </c>
      <c r="C30" s="21"/>
      <c r="D30" s="23"/>
    </row>
    <row r="31" spans="1:4" x14ac:dyDescent="0.25">
      <c r="A31" s="13"/>
      <c r="B31" s="19"/>
      <c r="C31" s="21"/>
      <c r="D31" s="23"/>
    </row>
    <row r="32" spans="1:4" x14ac:dyDescent="0.25">
      <c r="A32" s="13" t="s">
        <v>3402</v>
      </c>
      <c r="B32" s="19">
        <v>1</v>
      </c>
      <c r="C32" s="21">
        <v>900</v>
      </c>
      <c r="D32" s="23">
        <v>1358</v>
      </c>
    </row>
    <row r="33" spans="1:4" x14ac:dyDescent="0.25">
      <c r="A33" s="13" t="s">
        <v>3402</v>
      </c>
      <c r="B33" s="19">
        <v>4</v>
      </c>
      <c r="C33" s="21">
        <v>3400</v>
      </c>
      <c r="D33" s="23">
        <v>5229</v>
      </c>
    </row>
    <row r="34" spans="1:4" x14ac:dyDescent="0.25">
      <c r="A34" s="13" t="s">
        <v>3402</v>
      </c>
      <c r="B34" s="19">
        <v>10</v>
      </c>
      <c r="C34" s="21">
        <v>8250</v>
      </c>
      <c r="D34" s="23">
        <v>12474</v>
      </c>
    </row>
    <row r="35" spans="1:4" ht="15.75" customHeight="1" x14ac:dyDescent="0.25">
      <c r="A35" s="13" t="s">
        <v>3402</v>
      </c>
      <c r="B35" s="19">
        <v>20</v>
      </c>
      <c r="C35" s="21">
        <v>16000</v>
      </c>
      <c r="D35" s="23">
        <v>24532</v>
      </c>
    </row>
    <row r="36" spans="1:4" x14ac:dyDescent="0.25">
      <c r="A36" s="13" t="s">
        <v>8</v>
      </c>
      <c r="B36" s="19">
        <v>0.97499999999999998</v>
      </c>
      <c r="C36" s="21"/>
      <c r="D36" s="23"/>
    </row>
    <row r="37" spans="1:4" x14ac:dyDescent="0.25">
      <c r="A37" s="13" t="s">
        <v>8</v>
      </c>
      <c r="B37" s="19">
        <v>3.9</v>
      </c>
      <c r="C37" s="21"/>
      <c r="D37" s="23"/>
    </row>
    <row r="38" spans="1:4" x14ac:dyDescent="0.25">
      <c r="A38" s="13" t="s">
        <v>8</v>
      </c>
      <c r="B38" s="19">
        <v>9.75</v>
      </c>
      <c r="C38" s="21"/>
      <c r="D38" s="23"/>
    </row>
    <row r="39" spans="1:4" x14ac:dyDescent="0.25">
      <c r="A39" s="13" t="s">
        <v>8</v>
      </c>
      <c r="B39" s="19">
        <v>19.5</v>
      </c>
      <c r="C39" s="21"/>
      <c r="D39" s="23"/>
    </row>
    <row r="40" spans="1:4" x14ac:dyDescent="0.25">
      <c r="A40" s="13" t="s">
        <v>361</v>
      </c>
      <c r="B40" s="19">
        <v>0.97499999999999998</v>
      </c>
      <c r="C40" s="21"/>
      <c r="D40" s="23"/>
    </row>
    <row r="41" spans="1:4" x14ac:dyDescent="0.25">
      <c r="A41" s="13" t="s">
        <v>361</v>
      </c>
      <c r="B41" s="19">
        <v>3.9</v>
      </c>
      <c r="C41" s="21"/>
      <c r="D41" s="23"/>
    </row>
    <row r="42" spans="1:4" x14ac:dyDescent="0.25">
      <c r="A42" s="13" t="s">
        <v>361</v>
      </c>
      <c r="B42" s="19">
        <v>9.75</v>
      </c>
      <c r="C42" s="21"/>
      <c r="D42" s="23"/>
    </row>
    <row r="43" spans="1:4" x14ac:dyDescent="0.25">
      <c r="A43" s="13" t="s">
        <v>361</v>
      </c>
      <c r="B43" s="19">
        <v>19.5</v>
      </c>
      <c r="C43" s="21"/>
      <c r="D43" s="23"/>
    </row>
    <row r="44" spans="1:4" x14ac:dyDescent="0.25">
      <c r="A44" s="13" t="s">
        <v>3403</v>
      </c>
      <c r="B44" s="19">
        <v>0.97499999999999998</v>
      </c>
      <c r="C44" s="21"/>
      <c r="D44" s="23"/>
    </row>
    <row r="45" spans="1:4" x14ac:dyDescent="0.25">
      <c r="A45" s="13" t="s">
        <v>3403</v>
      </c>
      <c r="B45" s="19">
        <v>3.9</v>
      </c>
      <c r="C45" s="21"/>
      <c r="D45" s="23"/>
    </row>
    <row r="46" spans="1:4" x14ac:dyDescent="0.25">
      <c r="A46" s="13" t="s">
        <v>3403</v>
      </c>
      <c r="B46" s="19">
        <v>9.75</v>
      </c>
      <c r="C46" s="21"/>
      <c r="D46" s="23"/>
    </row>
    <row r="47" spans="1:4" x14ac:dyDescent="0.25">
      <c r="A47" s="13" t="s">
        <v>3403</v>
      </c>
      <c r="B47" s="19">
        <v>19.5</v>
      </c>
      <c r="C47" s="21"/>
      <c r="D47" s="23"/>
    </row>
    <row r="48" spans="1:4" x14ac:dyDescent="0.25">
      <c r="A48" s="13" t="s">
        <v>3401</v>
      </c>
      <c r="B48" s="19">
        <v>0.97499999999999998</v>
      </c>
      <c r="C48" s="21"/>
      <c r="D48" s="23"/>
    </row>
    <row r="49" spans="1:4" x14ac:dyDescent="0.25">
      <c r="A49" s="13" t="s">
        <v>3401</v>
      </c>
      <c r="B49" s="19">
        <v>3.9</v>
      </c>
      <c r="C49" s="21"/>
      <c r="D49" s="23"/>
    </row>
    <row r="50" spans="1:4" x14ac:dyDescent="0.25">
      <c r="A50" s="13" t="s">
        <v>3401</v>
      </c>
      <c r="B50" s="19">
        <v>9.75</v>
      </c>
      <c r="C50" s="21"/>
      <c r="D50" s="23"/>
    </row>
    <row r="51" spans="1:4" x14ac:dyDescent="0.25">
      <c r="A51" s="13" t="s">
        <v>3401</v>
      </c>
      <c r="B51" s="19">
        <v>19.5</v>
      </c>
      <c r="C51" s="21"/>
      <c r="D51" s="23"/>
    </row>
    <row r="52" spans="1:4" x14ac:dyDescent="0.25">
      <c r="A52" s="13" t="s">
        <v>362</v>
      </c>
      <c r="B52" s="19">
        <v>0.95</v>
      </c>
      <c r="C52" s="21"/>
      <c r="D52" s="23"/>
    </row>
    <row r="53" spans="1:4" x14ac:dyDescent="0.25">
      <c r="A53" s="13" t="s">
        <v>362</v>
      </c>
      <c r="B53" s="19">
        <v>3.8</v>
      </c>
      <c r="C53" s="21"/>
      <c r="D53" s="23"/>
    </row>
    <row r="54" spans="1:4" x14ac:dyDescent="0.25">
      <c r="A54" s="13" t="s">
        <v>362</v>
      </c>
      <c r="B54" s="19">
        <v>9.5</v>
      </c>
      <c r="C54" s="21"/>
      <c r="D54" s="23"/>
    </row>
    <row r="55" spans="1:4" x14ac:dyDescent="0.25">
      <c r="A55" s="13" t="s">
        <v>362</v>
      </c>
      <c r="B55" s="19">
        <v>19</v>
      </c>
      <c r="C55" s="21"/>
      <c r="D55" s="23"/>
    </row>
    <row r="56" spans="1:4" x14ac:dyDescent="0.25">
      <c r="A56" s="13"/>
      <c r="B56" s="19"/>
      <c r="C56" s="21"/>
      <c r="D56" s="23"/>
    </row>
    <row r="57" spans="1:4" x14ac:dyDescent="0.25">
      <c r="A57" s="13" t="s">
        <v>9</v>
      </c>
      <c r="B57" s="19">
        <v>1</v>
      </c>
      <c r="C57" s="21"/>
      <c r="D57" s="23">
        <v>590</v>
      </c>
    </row>
    <row r="58" spans="1:4" x14ac:dyDescent="0.25">
      <c r="A58" s="13" t="s">
        <v>9</v>
      </c>
      <c r="B58" s="19">
        <v>4</v>
      </c>
      <c r="C58" s="21"/>
      <c r="D58" s="23">
        <v>2170</v>
      </c>
    </row>
    <row r="59" spans="1:4" x14ac:dyDescent="0.25">
      <c r="A59" s="13" t="s">
        <v>9</v>
      </c>
      <c r="B59" s="19">
        <v>10</v>
      </c>
      <c r="C59" s="21"/>
      <c r="D59" s="23">
        <v>4999</v>
      </c>
    </row>
    <row r="60" spans="1:4" x14ac:dyDescent="0.25">
      <c r="A60" s="13" t="s">
        <v>9</v>
      </c>
      <c r="B60" s="19">
        <v>20</v>
      </c>
      <c r="C60" s="21"/>
      <c r="D60" s="23">
        <v>9790</v>
      </c>
    </row>
    <row r="61" spans="1:4" x14ac:dyDescent="0.25">
      <c r="A61" s="13"/>
      <c r="B61" s="19"/>
      <c r="C61" s="21"/>
      <c r="D61" s="23"/>
    </row>
    <row r="62" spans="1:4" x14ac:dyDescent="0.25">
      <c r="A62" s="13" t="s">
        <v>10</v>
      </c>
      <c r="B62" s="19">
        <v>1</v>
      </c>
      <c r="C62" s="21"/>
      <c r="D62" s="23">
        <v>1707</v>
      </c>
    </row>
    <row r="63" spans="1:4" x14ac:dyDescent="0.25">
      <c r="A63" s="13" t="s">
        <v>11</v>
      </c>
      <c r="B63" s="19">
        <v>4</v>
      </c>
      <c r="C63" s="21"/>
      <c r="D63" s="23">
        <v>6570</v>
      </c>
    </row>
    <row r="64" spans="1:4" x14ac:dyDescent="0.25">
      <c r="A64" s="13" t="s">
        <v>11</v>
      </c>
      <c r="B64" s="19">
        <v>10</v>
      </c>
      <c r="C64" s="21"/>
      <c r="D64" s="23">
        <v>15778</v>
      </c>
    </row>
    <row r="65" spans="1:4" x14ac:dyDescent="0.25">
      <c r="A65" s="13" t="s">
        <v>11</v>
      </c>
      <c r="B65" s="19">
        <v>20</v>
      </c>
      <c r="C65" s="21"/>
      <c r="D65" s="23">
        <v>30995</v>
      </c>
    </row>
    <row r="66" spans="1:4" x14ac:dyDescent="0.25">
      <c r="A66" s="13" t="s">
        <v>12</v>
      </c>
      <c r="B66" s="19">
        <v>1</v>
      </c>
      <c r="C66" s="21"/>
      <c r="D66" s="23"/>
    </row>
    <row r="67" spans="1:4" x14ac:dyDescent="0.25">
      <c r="A67" s="13" t="s">
        <v>12</v>
      </c>
      <c r="B67" s="19">
        <v>4</v>
      </c>
      <c r="C67" s="21"/>
      <c r="D67" s="23"/>
    </row>
    <row r="68" spans="1:4" x14ac:dyDescent="0.25">
      <c r="A68" s="13" t="s">
        <v>12</v>
      </c>
      <c r="B68" s="19">
        <v>10</v>
      </c>
      <c r="C68" s="21"/>
      <c r="D68" s="23"/>
    </row>
    <row r="69" spans="1:4" x14ac:dyDescent="0.25">
      <c r="A69" s="13" t="s">
        <v>12</v>
      </c>
      <c r="B69" s="19">
        <v>20</v>
      </c>
      <c r="C69" s="21"/>
      <c r="D69" s="23"/>
    </row>
    <row r="70" spans="1:4" x14ac:dyDescent="0.25">
      <c r="A70" s="13" t="s">
        <v>13</v>
      </c>
      <c r="B70" s="19">
        <v>1</v>
      </c>
      <c r="C70" s="21"/>
      <c r="D70" s="23"/>
    </row>
    <row r="71" spans="1:4" x14ac:dyDescent="0.25">
      <c r="A71" s="13" t="s">
        <v>13</v>
      </c>
      <c r="B71" s="19">
        <v>4</v>
      </c>
      <c r="C71" s="21"/>
      <c r="D71" s="23"/>
    </row>
    <row r="72" spans="1:4" x14ac:dyDescent="0.25">
      <c r="A72" s="13" t="s">
        <v>13</v>
      </c>
      <c r="B72" s="19">
        <v>10</v>
      </c>
      <c r="C72" s="21"/>
      <c r="D72" s="23"/>
    </row>
    <row r="73" spans="1:4" x14ac:dyDescent="0.25">
      <c r="A73" s="13" t="s">
        <v>13</v>
      </c>
      <c r="B73" s="19">
        <v>20</v>
      </c>
      <c r="C73" s="21"/>
      <c r="D73" s="23"/>
    </row>
    <row r="74" spans="1:4" x14ac:dyDescent="0.25">
      <c r="A74" s="13"/>
      <c r="B74" s="19"/>
      <c r="C74" s="21"/>
      <c r="D74" s="23"/>
    </row>
    <row r="75" spans="1:4" x14ac:dyDescent="0.25">
      <c r="A75" s="13" t="s">
        <v>14</v>
      </c>
      <c r="B75" s="19">
        <v>1</v>
      </c>
      <c r="C75" s="21">
        <v>1300</v>
      </c>
      <c r="D75" s="23">
        <v>1792</v>
      </c>
    </row>
    <row r="76" spans="1:4" x14ac:dyDescent="0.25">
      <c r="A76" s="13" t="s">
        <v>14</v>
      </c>
      <c r="B76" s="19">
        <v>4</v>
      </c>
      <c r="C76" s="21">
        <v>4800</v>
      </c>
      <c r="D76" s="23">
        <v>6899</v>
      </c>
    </row>
    <row r="77" spans="1:4" x14ac:dyDescent="0.25">
      <c r="A77" s="13" t="s">
        <v>14</v>
      </c>
      <c r="B77" s="19">
        <v>10</v>
      </c>
      <c r="C77" s="21">
        <v>11500</v>
      </c>
      <c r="D77" s="23">
        <v>16567</v>
      </c>
    </row>
    <row r="78" spans="1:4" x14ac:dyDescent="0.25">
      <c r="A78" s="13" t="s">
        <v>14</v>
      </c>
      <c r="B78" s="19">
        <v>20</v>
      </c>
      <c r="C78" s="21">
        <v>21500</v>
      </c>
      <c r="D78" s="23">
        <v>32545</v>
      </c>
    </row>
    <row r="79" spans="1:4" x14ac:dyDescent="0.25">
      <c r="A79" s="13" t="s">
        <v>15</v>
      </c>
      <c r="B79" s="19">
        <v>0.97499999999999998</v>
      </c>
      <c r="C79" s="21"/>
      <c r="D79" s="23"/>
    </row>
    <row r="80" spans="1:4" x14ac:dyDescent="0.25">
      <c r="A80" s="13" t="s">
        <v>15</v>
      </c>
      <c r="B80" s="19">
        <v>3.9</v>
      </c>
      <c r="C80" s="21"/>
      <c r="D80" s="23"/>
    </row>
    <row r="81" spans="1:4" x14ac:dyDescent="0.25">
      <c r="A81" s="13" t="s">
        <v>15</v>
      </c>
      <c r="B81" s="19">
        <v>9.75</v>
      </c>
      <c r="C81" s="21"/>
      <c r="D81" s="23"/>
    </row>
    <row r="82" spans="1:4" x14ac:dyDescent="0.25">
      <c r="A82" s="13" t="s">
        <v>15</v>
      </c>
      <c r="B82" s="19">
        <v>19.5</v>
      </c>
      <c r="C82" s="21"/>
      <c r="D82" s="23"/>
    </row>
    <row r="83" spans="1:4" x14ac:dyDescent="0.25">
      <c r="A83" s="13" t="s">
        <v>2925</v>
      </c>
      <c r="B83" s="19">
        <v>0.97499999999999998</v>
      </c>
      <c r="C83" s="21"/>
      <c r="D83" s="23"/>
    </row>
    <row r="84" spans="1:4" x14ac:dyDescent="0.25">
      <c r="A84" s="13" t="s">
        <v>2925</v>
      </c>
      <c r="B84" s="19">
        <v>3.9</v>
      </c>
      <c r="C84" s="21"/>
      <c r="D84" s="23"/>
    </row>
    <row r="85" spans="1:4" x14ac:dyDescent="0.25">
      <c r="A85" s="13" t="s">
        <v>2925</v>
      </c>
      <c r="B85" s="19">
        <v>9.75</v>
      </c>
      <c r="C85" s="21"/>
      <c r="D85" s="23"/>
    </row>
    <row r="86" spans="1:4" x14ac:dyDescent="0.25">
      <c r="A86" s="13" t="s">
        <v>2925</v>
      </c>
      <c r="B86" s="19">
        <v>19.5</v>
      </c>
      <c r="C86" s="21"/>
      <c r="D86" s="23"/>
    </row>
    <row r="87" spans="1:4" x14ac:dyDescent="0.25">
      <c r="A87" s="13"/>
      <c r="B87" s="19"/>
      <c r="C87" s="21"/>
      <c r="D87" s="23"/>
    </row>
    <row r="88" spans="1:4" x14ac:dyDescent="0.25">
      <c r="A88" s="13" t="s">
        <v>17</v>
      </c>
      <c r="B88" s="19">
        <v>1</v>
      </c>
      <c r="C88" s="21">
        <v>1100</v>
      </c>
      <c r="D88" s="23">
        <v>1358</v>
      </c>
    </row>
    <row r="89" spans="1:4" x14ac:dyDescent="0.25">
      <c r="A89" s="13" t="s">
        <v>17</v>
      </c>
      <c r="B89" s="19">
        <v>4</v>
      </c>
      <c r="C89" s="21">
        <v>4500</v>
      </c>
      <c r="D89" s="23">
        <v>5229</v>
      </c>
    </row>
    <row r="90" spans="1:4" ht="15" customHeight="1" x14ac:dyDescent="0.25">
      <c r="A90" s="13" t="s">
        <v>17</v>
      </c>
      <c r="B90" s="26">
        <v>10</v>
      </c>
      <c r="C90" s="21">
        <v>10500</v>
      </c>
      <c r="D90" s="23">
        <v>12474</v>
      </c>
    </row>
    <row r="91" spans="1:4" x14ac:dyDescent="0.25">
      <c r="A91" s="13" t="s">
        <v>17</v>
      </c>
      <c r="B91" s="19">
        <v>20</v>
      </c>
      <c r="C91" s="21">
        <v>20700</v>
      </c>
      <c r="D91" s="23">
        <v>24532</v>
      </c>
    </row>
    <row r="92" spans="1:4" x14ac:dyDescent="0.25">
      <c r="A92" s="13"/>
      <c r="B92" s="19"/>
      <c r="C92" s="21"/>
      <c r="D92" s="23"/>
    </row>
    <row r="93" spans="1:4" x14ac:dyDescent="0.25">
      <c r="A93" s="13" t="s">
        <v>18</v>
      </c>
      <c r="B93" s="19">
        <v>1</v>
      </c>
      <c r="C93" s="21">
        <v>1100</v>
      </c>
      <c r="D93" s="23">
        <v>1755</v>
      </c>
    </row>
    <row r="94" spans="1:4" x14ac:dyDescent="0.25">
      <c r="A94" s="13" t="s">
        <v>18</v>
      </c>
      <c r="B94" s="19">
        <v>4</v>
      </c>
      <c r="C94" s="21">
        <v>4000</v>
      </c>
      <c r="D94" s="23">
        <v>6804</v>
      </c>
    </row>
    <row r="95" spans="1:4" x14ac:dyDescent="0.25">
      <c r="A95" s="13" t="s">
        <v>18</v>
      </c>
      <c r="B95" s="19">
        <v>10</v>
      </c>
      <c r="C95" s="21">
        <v>9500</v>
      </c>
      <c r="D95" s="23">
        <v>16524</v>
      </c>
    </row>
    <row r="96" spans="1:4" x14ac:dyDescent="0.25">
      <c r="A96" s="13" t="s">
        <v>18</v>
      </c>
      <c r="B96" s="19">
        <v>20</v>
      </c>
      <c r="C96" s="21">
        <v>18000</v>
      </c>
      <c r="D96" s="23">
        <v>32076</v>
      </c>
    </row>
    <row r="97" spans="1:4" x14ac:dyDescent="0.25">
      <c r="A97" s="13" t="s">
        <v>19</v>
      </c>
      <c r="B97" s="19">
        <v>0.97499999999999998</v>
      </c>
      <c r="C97" s="21"/>
      <c r="D97" s="23"/>
    </row>
    <row r="98" spans="1:4" x14ac:dyDescent="0.25">
      <c r="A98" s="13" t="s">
        <v>19</v>
      </c>
      <c r="B98" s="19">
        <v>3.9</v>
      </c>
      <c r="C98" s="21"/>
      <c r="D98" s="23"/>
    </row>
    <row r="99" spans="1:4" x14ac:dyDescent="0.25">
      <c r="A99" s="13" t="s">
        <v>19</v>
      </c>
      <c r="B99" s="19">
        <v>9.75</v>
      </c>
      <c r="C99" s="21"/>
      <c r="D99" s="23"/>
    </row>
    <row r="100" spans="1:4" x14ac:dyDescent="0.25">
      <c r="A100" s="13" t="s">
        <v>19</v>
      </c>
      <c r="B100" s="19">
        <v>19.5</v>
      </c>
      <c r="C100" s="21"/>
      <c r="D100" s="23"/>
    </row>
    <row r="101" spans="1:4" x14ac:dyDescent="0.25">
      <c r="A101" s="13" t="s">
        <v>20</v>
      </c>
      <c r="B101" s="19">
        <v>0.95</v>
      </c>
      <c r="C101" s="21"/>
      <c r="D101" s="23"/>
    </row>
    <row r="102" spans="1:4" ht="12.75" customHeight="1" x14ac:dyDescent="0.25">
      <c r="A102" s="13" t="s">
        <v>20</v>
      </c>
      <c r="B102" s="19">
        <v>3.8</v>
      </c>
      <c r="C102" s="21"/>
      <c r="D102" s="23"/>
    </row>
    <row r="103" spans="1:4" x14ac:dyDescent="0.25">
      <c r="A103" s="13" t="s">
        <v>20</v>
      </c>
      <c r="B103" s="19">
        <v>9.5</v>
      </c>
      <c r="C103" s="21"/>
      <c r="D103" s="23"/>
    </row>
    <row r="104" spans="1:4" x14ac:dyDescent="0.25">
      <c r="A104" s="13" t="s">
        <v>20</v>
      </c>
      <c r="B104" s="19">
        <v>19</v>
      </c>
      <c r="C104" s="21"/>
      <c r="D104" s="23"/>
    </row>
    <row r="105" spans="1:4" x14ac:dyDescent="0.25">
      <c r="A105" s="13"/>
      <c r="B105" s="19"/>
      <c r="C105" s="21"/>
      <c r="D105" s="23"/>
    </row>
    <row r="106" spans="1:4" ht="15" customHeight="1" x14ac:dyDescent="0.25">
      <c r="A106" s="13" t="s">
        <v>21</v>
      </c>
      <c r="B106" s="19">
        <v>1</v>
      </c>
      <c r="C106" s="21">
        <v>400</v>
      </c>
      <c r="D106" s="23">
        <v>547</v>
      </c>
    </row>
    <row r="107" spans="1:4" x14ac:dyDescent="0.25">
      <c r="A107" s="13" t="s">
        <v>21</v>
      </c>
      <c r="B107" s="19">
        <v>4</v>
      </c>
      <c r="C107" s="21">
        <v>1400</v>
      </c>
      <c r="D107" s="23">
        <v>1891</v>
      </c>
    </row>
    <row r="108" spans="1:4" x14ac:dyDescent="0.25">
      <c r="A108" s="13" t="s">
        <v>21</v>
      </c>
      <c r="B108" s="19">
        <v>10</v>
      </c>
      <c r="C108" s="21">
        <v>3200</v>
      </c>
      <c r="D108" s="23">
        <v>4513</v>
      </c>
    </row>
    <row r="109" spans="1:4" x14ac:dyDescent="0.25">
      <c r="A109" s="13" t="s">
        <v>21</v>
      </c>
      <c r="B109" s="19">
        <v>20</v>
      </c>
      <c r="C109" s="21">
        <v>6000</v>
      </c>
      <c r="D109" s="23">
        <v>8689</v>
      </c>
    </row>
    <row r="110" spans="1:4" x14ac:dyDescent="0.25">
      <c r="A110" s="13" t="s">
        <v>22</v>
      </c>
      <c r="B110" s="19">
        <v>0.9</v>
      </c>
      <c r="C110" s="21"/>
      <c r="D110" s="23"/>
    </row>
    <row r="111" spans="1:4" x14ac:dyDescent="0.25">
      <c r="A111" s="13" t="s">
        <v>22</v>
      </c>
      <c r="B111" s="19">
        <v>3.6</v>
      </c>
      <c r="C111" s="21"/>
      <c r="D111" s="23"/>
    </row>
    <row r="112" spans="1:4" x14ac:dyDescent="0.25">
      <c r="A112" s="13" t="s">
        <v>22</v>
      </c>
      <c r="B112" s="19">
        <v>9</v>
      </c>
      <c r="C112" s="21"/>
      <c r="D112" s="23"/>
    </row>
    <row r="113" spans="1:4" x14ac:dyDescent="0.25">
      <c r="A113" s="13" t="s">
        <v>22</v>
      </c>
      <c r="B113" s="19">
        <v>18</v>
      </c>
      <c r="C113" s="21"/>
      <c r="D113" s="23"/>
    </row>
    <row r="114" spans="1:4" x14ac:dyDescent="0.25">
      <c r="A114" s="13" t="s">
        <v>23</v>
      </c>
      <c r="B114" s="19">
        <v>0.95</v>
      </c>
      <c r="C114" s="21"/>
      <c r="D114" s="23"/>
    </row>
    <row r="115" spans="1:4" ht="15" customHeight="1" x14ac:dyDescent="0.25">
      <c r="A115" s="13" t="s">
        <v>23</v>
      </c>
      <c r="B115" s="19">
        <v>3.8</v>
      </c>
      <c r="C115" s="21"/>
      <c r="D115" s="23"/>
    </row>
    <row r="116" spans="1:4" x14ac:dyDescent="0.25">
      <c r="A116" s="13" t="s">
        <v>23</v>
      </c>
      <c r="B116" s="19">
        <v>9.5</v>
      </c>
      <c r="C116" s="21"/>
      <c r="D116" s="23"/>
    </row>
    <row r="117" spans="1:4" x14ac:dyDescent="0.25">
      <c r="A117" s="13" t="s">
        <v>23</v>
      </c>
      <c r="B117" s="19">
        <v>19</v>
      </c>
      <c r="C117" s="21"/>
      <c r="D117" s="23"/>
    </row>
    <row r="118" spans="1:4" x14ac:dyDescent="0.25">
      <c r="A118" s="13"/>
      <c r="B118" s="19"/>
      <c r="C118" s="21"/>
      <c r="D118" s="23"/>
    </row>
    <row r="119" spans="1:4" x14ac:dyDescent="0.25">
      <c r="A119" s="13" t="s">
        <v>24</v>
      </c>
      <c r="B119" s="19">
        <v>1</v>
      </c>
      <c r="C119" s="21">
        <v>600</v>
      </c>
      <c r="D119" s="23">
        <v>645</v>
      </c>
    </row>
    <row r="120" spans="1:4" x14ac:dyDescent="0.25">
      <c r="A120" s="13" t="s">
        <v>24</v>
      </c>
      <c r="B120" s="19">
        <v>4</v>
      </c>
      <c r="C120" s="21">
        <v>2000</v>
      </c>
      <c r="D120" s="23">
        <v>2231</v>
      </c>
    </row>
    <row r="121" spans="1:4" x14ac:dyDescent="0.25">
      <c r="A121" s="13" t="s">
        <v>24</v>
      </c>
      <c r="B121" s="19">
        <v>10</v>
      </c>
      <c r="C121" s="21">
        <v>4500</v>
      </c>
      <c r="D121" s="23">
        <v>5325</v>
      </c>
    </row>
    <row r="122" spans="1:4" x14ac:dyDescent="0.25">
      <c r="A122" s="13" t="s">
        <v>24</v>
      </c>
      <c r="B122" s="19">
        <v>20</v>
      </c>
      <c r="C122" s="21">
        <v>9000</v>
      </c>
      <c r="D122" s="23">
        <v>10253</v>
      </c>
    </row>
    <row r="123" spans="1:4" x14ac:dyDescent="0.25">
      <c r="A123" s="13" t="s">
        <v>25</v>
      </c>
      <c r="B123" s="19">
        <v>0.9</v>
      </c>
      <c r="C123" s="21"/>
      <c r="D123" s="23"/>
    </row>
    <row r="124" spans="1:4" x14ac:dyDescent="0.25">
      <c r="A124" s="13" t="s">
        <v>25</v>
      </c>
      <c r="B124" s="19">
        <v>3.6</v>
      </c>
      <c r="C124" s="21"/>
      <c r="D124" s="23"/>
    </row>
    <row r="125" spans="1:4" x14ac:dyDescent="0.25">
      <c r="A125" s="13" t="s">
        <v>25</v>
      </c>
      <c r="B125" s="19">
        <v>9</v>
      </c>
      <c r="C125" s="21"/>
      <c r="D125" s="23"/>
    </row>
    <row r="126" spans="1:4" x14ac:dyDescent="0.25">
      <c r="A126" s="13" t="s">
        <v>25</v>
      </c>
      <c r="B126" s="19">
        <v>18</v>
      </c>
      <c r="C126" s="21"/>
      <c r="D126" s="23"/>
    </row>
    <row r="127" spans="1:4" x14ac:dyDescent="0.25">
      <c r="A127" s="13" t="s">
        <v>26</v>
      </c>
      <c r="B127" s="19">
        <v>0.95</v>
      </c>
      <c r="C127" s="21"/>
      <c r="D127" s="23"/>
    </row>
    <row r="128" spans="1:4" x14ac:dyDescent="0.25">
      <c r="A128" s="13" t="s">
        <v>26</v>
      </c>
      <c r="B128" s="19">
        <v>3.8</v>
      </c>
      <c r="C128" s="21"/>
      <c r="D128" s="23"/>
    </row>
    <row r="129" spans="1:4" x14ac:dyDescent="0.25">
      <c r="A129" s="13" t="s">
        <v>26</v>
      </c>
      <c r="B129" s="19">
        <v>9.5</v>
      </c>
      <c r="C129" s="21"/>
      <c r="D129" s="23"/>
    </row>
    <row r="130" spans="1:4" x14ac:dyDescent="0.25">
      <c r="A130" s="13" t="s">
        <v>26</v>
      </c>
      <c r="B130" s="19">
        <v>19</v>
      </c>
      <c r="C130" s="21"/>
      <c r="D130" s="23"/>
    </row>
    <row r="131" spans="1:4" x14ac:dyDescent="0.25">
      <c r="A131" s="13"/>
      <c r="B131" s="19"/>
      <c r="C131" s="21"/>
      <c r="D131" s="23"/>
    </row>
    <row r="132" spans="1:4" x14ac:dyDescent="0.25">
      <c r="A132" s="13" t="s">
        <v>27</v>
      </c>
      <c r="B132" s="19">
        <v>1</v>
      </c>
      <c r="C132" s="21">
        <v>700</v>
      </c>
      <c r="D132" s="23">
        <v>892</v>
      </c>
    </row>
    <row r="133" spans="1:4" x14ac:dyDescent="0.25">
      <c r="A133" s="13" t="s">
        <v>27</v>
      </c>
      <c r="B133" s="19">
        <v>4</v>
      </c>
      <c r="C133" s="21">
        <v>2600</v>
      </c>
      <c r="D133" s="23">
        <v>3337</v>
      </c>
    </row>
    <row r="134" spans="1:4" x14ac:dyDescent="0.25">
      <c r="A134" s="13" t="s">
        <v>27</v>
      </c>
      <c r="B134" s="19">
        <v>10</v>
      </c>
      <c r="C134" s="21">
        <v>6000</v>
      </c>
      <c r="D134" s="23">
        <v>8021</v>
      </c>
    </row>
    <row r="135" spans="1:4" x14ac:dyDescent="0.25">
      <c r="A135" s="13" t="s">
        <v>27</v>
      </c>
      <c r="B135" s="19">
        <v>20</v>
      </c>
      <c r="C135" s="21">
        <v>11500</v>
      </c>
      <c r="D135" s="23">
        <v>15705</v>
      </c>
    </row>
    <row r="136" spans="1:4" ht="15.75" customHeight="1" x14ac:dyDescent="0.25">
      <c r="A136" s="13" t="s">
        <v>28</v>
      </c>
      <c r="B136" s="19">
        <v>0.95</v>
      </c>
      <c r="C136" s="21"/>
      <c r="D136" s="23"/>
    </row>
    <row r="137" spans="1:4" ht="17.25" customHeight="1" x14ac:dyDescent="0.25">
      <c r="A137" s="13" t="s">
        <v>28</v>
      </c>
      <c r="B137" s="19">
        <v>3.8</v>
      </c>
      <c r="C137" s="21"/>
      <c r="D137" s="23"/>
    </row>
    <row r="138" spans="1:4" x14ac:dyDescent="0.25">
      <c r="A138" s="13" t="s">
        <v>28</v>
      </c>
      <c r="B138" s="19">
        <v>9.5</v>
      </c>
      <c r="C138" s="21"/>
      <c r="D138" s="23"/>
    </row>
    <row r="139" spans="1:4" x14ac:dyDescent="0.25">
      <c r="A139" s="13" t="s">
        <v>28</v>
      </c>
      <c r="B139" s="19">
        <v>19</v>
      </c>
      <c r="C139" s="21"/>
      <c r="D139" s="23"/>
    </row>
    <row r="140" spans="1:4" x14ac:dyDescent="0.25">
      <c r="A140" s="13" t="s">
        <v>29</v>
      </c>
      <c r="B140" s="19">
        <v>0.9</v>
      </c>
      <c r="C140" s="21"/>
      <c r="D140" s="23"/>
    </row>
    <row r="141" spans="1:4" x14ac:dyDescent="0.25">
      <c r="A141" s="13" t="s">
        <v>29</v>
      </c>
      <c r="B141" s="19">
        <v>3.6</v>
      </c>
      <c r="C141" s="21"/>
      <c r="D141" s="23"/>
    </row>
    <row r="142" spans="1:4" x14ac:dyDescent="0.25">
      <c r="A142" s="13" t="s">
        <v>29</v>
      </c>
      <c r="B142" s="19">
        <v>9</v>
      </c>
      <c r="C142" s="21"/>
      <c r="D142" s="23"/>
    </row>
    <row r="143" spans="1:4" x14ac:dyDescent="0.25">
      <c r="A143" s="13" t="s">
        <v>29</v>
      </c>
      <c r="B143" s="19">
        <v>18</v>
      </c>
      <c r="C143" s="21"/>
      <c r="D143" s="23"/>
    </row>
    <row r="144" spans="1:4" x14ac:dyDescent="0.25">
      <c r="A144" s="13" t="s">
        <v>375</v>
      </c>
      <c r="B144" s="19">
        <v>0.95</v>
      </c>
      <c r="C144" s="21"/>
      <c r="D144" s="23"/>
    </row>
    <row r="145" spans="1:15" x14ac:dyDescent="0.25">
      <c r="A145" s="13" t="s">
        <v>375</v>
      </c>
      <c r="B145" s="19">
        <v>3.8</v>
      </c>
      <c r="C145" s="21"/>
      <c r="D145" s="23"/>
    </row>
    <row r="146" spans="1:15" x14ac:dyDescent="0.25">
      <c r="A146" s="13" t="s">
        <v>375</v>
      </c>
      <c r="B146" s="19">
        <v>9.5</v>
      </c>
      <c r="C146" s="21"/>
      <c r="D146" s="23"/>
    </row>
    <row r="147" spans="1:15" x14ac:dyDescent="0.25">
      <c r="A147" s="13" t="s">
        <v>375</v>
      </c>
      <c r="B147" s="19">
        <v>19</v>
      </c>
      <c r="C147" s="21"/>
      <c r="D147" s="23"/>
    </row>
    <row r="148" spans="1:15" x14ac:dyDescent="0.25">
      <c r="A148" s="13"/>
      <c r="B148" s="19"/>
      <c r="C148" s="21"/>
      <c r="D148" s="23"/>
    </row>
    <row r="149" spans="1:15" x14ac:dyDescent="0.25">
      <c r="A149" s="13" t="s">
        <v>31</v>
      </c>
      <c r="B149" s="19">
        <v>1</v>
      </c>
      <c r="C149" s="21">
        <v>900</v>
      </c>
      <c r="D149" s="23">
        <v>1391</v>
      </c>
    </row>
    <row r="150" spans="1:15" ht="15" customHeight="1" x14ac:dyDescent="0.25">
      <c r="A150" s="13" t="s">
        <v>31</v>
      </c>
      <c r="B150" s="19">
        <v>4</v>
      </c>
      <c r="C150" s="21">
        <v>3400</v>
      </c>
      <c r="D150" s="23">
        <v>5395</v>
      </c>
    </row>
    <row r="151" spans="1:15" x14ac:dyDescent="0.25">
      <c r="A151" s="13" t="s">
        <v>31</v>
      </c>
      <c r="B151" s="19">
        <v>10</v>
      </c>
      <c r="C151" s="21">
        <v>8250</v>
      </c>
      <c r="D151" s="23">
        <v>12808</v>
      </c>
    </row>
    <row r="152" spans="1:15" ht="16.5" customHeight="1" x14ac:dyDescent="0.25">
      <c r="A152" s="13" t="s">
        <v>31</v>
      </c>
      <c r="B152" s="19">
        <v>20</v>
      </c>
      <c r="C152" s="21">
        <v>16000</v>
      </c>
      <c r="D152" s="23">
        <v>25227</v>
      </c>
      <c r="O152">
        <v>7000</v>
      </c>
    </row>
    <row r="153" spans="1:15" x14ac:dyDescent="0.25">
      <c r="A153" s="13" t="s">
        <v>378</v>
      </c>
      <c r="B153" s="19">
        <v>0.95</v>
      </c>
      <c r="C153" s="21"/>
      <c r="D153" s="23"/>
    </row>
    <row r="154" spans="1:15" x14ac:dyDescent="0.25">
      <c r="A154" s="13" t="s">
        <v>378</v>
      </c>
      <c r="B154" s="19">
        <v>3.8</v>
      </c>
      <c r="C154" s="21"/>
      <c r="D154" s="23"/>
    </row>
    <row r="155" spans="1:15" ht="16.5" customHeight="1" x14ac:dyDescent="0.25">
      <c r="A155" s="13" t="s">
        <v>378</v>
      </c>
      <c r="B155" s="19">
        <v>9.5</v>
      </c>
      <c r="C155" s="21"/>
      <c r="D155" s="23"/>
    </row>
    <row r="156" spans="1:15" x14ac:dyDescent="0.25">
      <c r="A156" s="13" t="s">
        <v>378</v>
      </c>
      <c r="B156" s="19">
        <v>19</v>
      </c>
      <c r="C156" s="21"/>
      <c r="D156" s="23"/>
    </row>
    <row r="157" spans="1:15" x14ac:dyDescent="0.25">
      <c r="A157" s="13" t="s">
        <v>3408</v>
      </c>
      <c r="B157" s="19">
        <v>0.9</v>
      </c>
      <c r="C157" s="21"/>
      <c r="D157" s="23"/>
    </row>
    <row r="158" spans="1:15" x14ac:dyDescent="0.25">
      <c r="A158" s="13" t="s">
        <v>3408</v>
      </c>
      <c r="B158" s="19">
        <v>3.6</v>
      </c>
      <c r="C158" s="21"/>
      <c r="D158" s="23"/>
    </row>
    <row r="159" spans="1:15" x14ac:dyDescent="0.25">
      <c r="A159" s="13" t="s">
        <v>3408</v>
      </c>
      <c r="B159" s="19">
        <v>9</v>
      </c>
      <c r="C159" s="21"/>
      <c r="D159" s="23"/>
    </row>
    <row r="160" spans="1:15" x14ac:dyDescent="0.25">
      <c r="A160" s="13" t="s">
        <v>3408</v>
      </c>
      <c r="B160" s="19">
        <v>18</v>
      </c>
      <c r="C160" s="21"/>
      <c r="D160" s="23"/>
    </row>
    <row r="161" spans="1:4" x14ac:dyDescent="0.25">
      <c r="A161" s="13" t="s">
        <v>381</v>
      </c>
      <c r="B161" s="19">
        <v>0.95</v>
      </c>
      <c r="C161" s="21"/>
      <c r="D161" s="23"/>
    </row>
    <row r="162" spans="1:4" x14ac:dyDescent="0.25">
      <c r="A162" s="13" t="s">
        <v>381</v>
      </c>
      <c r="B162" s="19">
        <v>3.8</v>
      </c>
      <c r="C162" s="21"/>
      <c r="D162" s="23"/>
    </row>
    <row r="163" spans="1:4" x14ac:dyDescent="0.25">
      <c r="A163" s="13" t="s">
        <v>381</v>
      </c>
      <c r="B163" s="19">
        <v>9.5</v>
      </c>
      <c r="C163" s="21"/>
      <c r="D163" s="23"/>
    </row>
    <row r="164" spans="1:4" x14ac:dyDescent="0.25">
      <c r="A164" s="13" t="s">
        <v>381</v>
      </c>
      <c r="B164" s="19">
        <v>19</v>
      </c>
      <c r="C164" s="21"/>
      <c r="D164" s="23"/>
    </row>
    <row r="165" spans="1:4" x14ac:dyDescent="0.25">
      <c r="A165" s="13"/>
      <c r="B165" s="19"/>
      <c r="C165" s="21"/>
      <c r="D165" s="23"/>
    </row>
    <row r="166" spans="1:4" x14ac:dyDescent="0.25">
      <c r="A166" s="13" t="s">
        <v>33</v>
      </c>
      <c r="B166" s="19">
        <v>1</v>
      </c>
      <c r="C166" s="21">
        <v>1200</v>
      </c>
      <c r="D166" s="23">
        <v>1744</v>
      </c>
    </row>
    <row r="167" spans="1:4" x14ac:dyDescent="0.25">
      <c r="A167" s="13" t="s">
        <v>33</v>
      </c>
      <c r="B167" s="19">
        <v>4</v>
      </c>
      <c r="C167" s="21">
        <v>4600</v>
      </c>
      <c r="D167" s="23">
        <v>6746</v>
      </c>
    </row>
    <row r="168" spans="1:4" x14ac:dyDescent="0.25">
      <c r="A168" s="13" t="s">
        <v>33</v>
      </c>
      <c r="B168" s="19">
        <v>10</v>
      </c>
      <c r="C168" s="21">
        <v>11000</v>
      </c>
      <c r="D168" s="23">
        <v>16094</v>
      </c>
    </row>
    <row r="169" spans="1:4" x14ac:dyDescent="0.25">
      <c r="A169" s="13" t="s">
        <v>33</v>
      </c>
      <c r="B169" s="19">
        <v>20</v>
      </c>
      <c r="C169" s="21">
        <v>21000</v>
      </c>
      <c r="D169" s="23">
        <v>31693</v>
      </c>
    </row>
    <row r="170" spans="1:4" x14ac:dyDescent="0.25">
      <c r="A170" s="13" t="s">
        <v>34</v>
      </c>
      <c r="B170" s="19">
        <v>0.94899999999999995</v>
      </c>
      <c r="C170" s="21"/>
      <c r="D170" s="23"/>
    </row>
    <row r="171" spans="1:4" ht="15" customHeight="1" x14ac:dyDescent="0.25">
      <c r="A171" s="13" t="s">
        <v>34</v>
      </c>
      <c r="B171" s="19">
        <v>3.79</v>
      </c>
      <c r="C171" s="21"/>
      <c r="D171" s="23"/>
    </row>
    <row r="172" spans="1:4" x14ac:dyDescent="0.25">
      <c r="A172" s="13" t="s">
        <v>34</v>
      </c>
      <c r="B172" s="19">
        <v>9.49</v>
      </c>
      <c r="C172" s="21"/>
      <c r="D172" s="23"/>
    </row>
    <row r="173" spans="1:4" x14ac:dyDescent="0.25">
      <c r="A173" s="13" t="s">
        <v>34</v>
      </c>
      <c r="B173" s="19">
        <v>18.98</v>
      </c>
      <c r="C173" s="21"/>
      <c r="D173" s="23"/>
    </row>
    <row r="174" spans="1:4" x14ac:dyDescent="0.25">
      <c r="A174" s="13" t="s">
        <v>35</v>
      </c>
      <c r="B174" s="19">
        <v>0.9</v>
      </c>
      <c r="C174" s="21"/>
      <c r="D174" s="23"/>
    </row>
    <row r="175" spans="1:4" x14ac:dyDescent="0.25">
      <c r="A175" s="13" t="s">
        <v>36</v>
      </c>
      <c r="B175" s="19">
        <v>3.6</v>
      </c>
      <c r="C175" s="21"/>
      <c r="D175" s="23"/>
    </row>
    <row r="176" spans="1:4" x14ac:dyDescent="0.25">
      <c r="A176" s="13" t="s">
        <v>36</v>
      </c>
      <c r="B176" s="19">
        <v>9</v>
      </c>
      <c r="C176" s="21"/>
      <c r="D176" s="23"/>
    </row>
    <row r="177" spans="1:4" x14ac:dyDescent="0.25">
      <c r="A177" s="13" t="s">
        <v>36</v>
      </c>
      <c r="B177" s="19">
        <v>18</v>
      </c>
      <c r="C177" s="21"/>
      <c r="D177" s="23"/>
    </row>
    <row r="178" spans="1:4" x14ac:dyDescent="0.25">
      <c r="A178" s="13"/>
      <c r="B178" s="19"/>
      <c r="C178" s="21"/>
      <c r="D178" s="23"/>
    </row>
    <row r="179" spans="1:4" x14ac:dyDescent="0.25">
      <c r="A179" s="13" t="s">
        <v>3395</v>
      </c>
      <c r="B179" s="19">
        <v>1</v>
      </c>
      <c r="C179" s="21">
        <v>550</v>
      </c>
      <c r="D179" s="23">
        <v>560</v>
      </c>
    </row>
    <row r="180" spans="1:4" x14ac:dyDescent="0.25">
      <c r="A180" s="13" t="s">
        <v>3395</v>
      </c>
      <c r="B180" s="19">
        <v>4</v>
      </c>
      <c r="C180" s="21">
        <v>2000</v>
      </c>
      <c r="D180" s="23">
        <v>2065</v>
      </c>
    </row>
    <row r="181" spans="1:4" x14ac:dyDescent="0.25">
      <c r="A181" s="13" t="s">
        <v>3395</v>
      </c>
      <c r="B181" s="19">
        <v>10</v>
      </c>
      <c r="C181" s="21">
        <v>4200</v>
      </c>
      <c r="D181" s="23">
        <v>4490</v>
      </c>
    </row>
    <row r="182" spans="1:4" x14ac:dyDescent="0.25">
      <c r="A182" s="13" t="s">
        <v>3395</v>
      </c>
      <c r="B182" s="19">
        <v>20</v>
      </c>
      <c r="C182" s="21">
        <v>8000</v>
      </c>
      <c r="D182" s="23">
        <v>8370</v>
      </c>
    </row>
    <row r="183" spans="1:4" x14ac:dyDescent="0.25">
      <c r="A183" s="13"/>
      <c r="B183" s="19"/>
      <c r="C183" s="21"/>
      <c r="D183" s="23"/>
    </row>
    <row r="184" spans="1:4" x14ac:dyDescent="0.25">
      <c r="A184" s="13" t="s">
        <v>39</v>
      </c>
      <c r="B184" s="19">
        <v>0.94899999999999995</v>
      </c>
      <c r="C184" s="21">
        <v>1350</v>
      </c>
      <c r="D184" s="23"/>
    </row>
    <row r="185" spans="1:4" ht="15" customHeight="1" x14ac:dyDescent="0.25">
      <c r="A185" s="13" t="s">
        <v>39</v>
      </c>
      <c r="B185" s="19">
        <v>3.79</v>
      </c>
      <c r="C185" s="21">
        <v>5200</v>
      </c>
      <c r="D185" s="23"/>
    </row>
    <row r="186" spans="1:4" x14ac:dyDescent="0.25">
      <c r="A186" s="13" t="s">
        <v>39</v>
      </c>
      <c r="B186" s="19">
        <v>9.49</v>
      </c>
      <c r="C186" s="21">
        <v>12800</v>
      </c>
      <c r="D186" s="23"/>
    </row>
    <row r="187" spans="1:4" x14ac:dyDescent="0.25">
      <c r="A187" s="13" t="s">
        <v>39</v>
      </c>
      <c r="B187" s="19">
        <v>20</v>
      </c>
      <c r="C187" s="21">
        <v>24650</v>
      </c>
      <c r="D187" s="23"/>
    </row>
    <row r="188" spans="1:4" x14ac:dyDescent="0.25">
      <c r="A188" s="13" t="s">
        <v>40</v>
      </c>
      <c r="B188" s="19">
        <v>1</v>
      </c>
      <c r="C188" s="21"/>
      <c r="D188" s="23"/>
    </row>
    <row r="189" spans="1:4" x14ac:dyDescent="0.25">
      <c r="A189" s="13" t="s">
        <v>40</v>
      </c>
      <c r="B189" s="19">
        <v>4</v>
      </c>
      <c r="C189" s="21"/>
      <c r="D189" s="23"/>
    </row>
    <row r="190" spans="1:4" x14ac:dyDescent="0.25">
      <c r="A190" s="13" t="s">
        <v>40</v>
      </c>
      <c r="B190" s="19">
        <v>10</v>
      </c>
      <c r="C190" s="21"/>
      <c r="D190" s="23"/>
    </row>
    <row r="191" spans="1:4" x14ac:dyDescent="0.25">
      <c r="A191" s="13" t="s">
        <v>40</v>
      </c>
      <c r="B191" s="19">
        <v>20</v>
      </c>
      <c r="C191" s="21"/>
      <c r="D191" s="23"/>
    </row>
    <row r="192" spans="1:4" x14ac:dyDescent="0.25">
      <c r="A192" s="13"/>
      <c r="B192" s="19"/>
      <c r="C192" s="21"/>
      <c r="D192" s="23"/>
    </row>
    <row r="193" spans="1:4" x14ac:dyDescent="0.25">
      <c r="A193" s="13" t="s">
        <v>41</v>
      </c>
      <c r="B193" s="19">
        <v>1</v>
      </c>
      <c r="C193" s="21">
        <v>1550</v>
      </c>
      <c r="D193" s="23">
        <v>2140</v>
      </c>
    </row>
    <row r="194" spans="1:4" ht="15" customHeight="1" x14ac:dyDescent="0.25">
      <c r="A194" s="13" t="s">
        <v>41</v>
      </c>
      <c r="B194" s="19">
        <v>4</v>
      </c>
      <c r="C194" s="21">
        <v>5900</v>
      </c>
      <c r="D194" s="23">
        <v>8025</v>
      </c>
    </row>
    <row r="195" spans="1:4" x14ac:dyDescent="0.25">
      <c r="A195" s="13" t="s">
        <v>41</v>
      </c>
      <c r="B195" s="19">
        <v>10</v>
      </c>
      <c r="C195" s="21">
        <v>14200</v>
      </c>
      <c r="D195" s="23">
        <v>19046</v>
      </c>
    </row>
    <row r="196" spans="1:4" x14ac:dyDescent="0.25">
      <c r="A196" s="13" t="s">
        <v>41</v>
      </c>
      <c r="B196" s="19">
        <v>20</v>
      </c>
      <c r="C196" s="21">
        <v>28200</v>
      </c>
      <c r="D196" s="23">
        <v>36594</v>
      </c>
    </row>
    <row r="197" spans="1:4" x14ac:dyDescent="0.25">
      <c r="A197" s="13" t="s">
        <v>42</v>
      </c>
      <c r="B197" s="19">
        <v>1</v>
      </c>
      <c r="C197" s="21"/>
      <c r="D197" s="23"/>
    </row>
    <row r="198" spans="1:4" x14ac:dyDescent="0.25">
      <c r="A198" s="13" t="s">
        <v>42</v>
      </c>
      <c r="B198" s="19">
        <v>4</v>
      </c>
      <c r="C198" s="21"/>
      <c r="D198" s="23"/>
    </row>
    <row r="199" spans="1:4" x14ac:dyDescent="0.25">
      <c r="A199" s="13" t="s">
        <v>42</v>
      </c>
      <c r="B199" s="19">
        <v>10</v>
      </c>
      <c r="C199" s="21"/>
      <c r="D199" s="23"/>
    </row>
    <row r="200" spans="1:4" x14ac:dyDescent="0.25">
      <c r="A200" s="13" t="s">
        <v>42</v>
      </c>
      <c r="B200" s="19">
        <v>20</v>
      </c>
      <c r="C200" s="21"/>
      <c r="D200" s="23"/>
    </row>
    <row r="201" spans="1:4" x14ac:dyDescent="0.25">
      <c r="A201" s="13" t="s">
        <v>43</v>
      </c>
      <c r="B201" s="19">
        <v>1</v>
      </c>
      <c r="C201" s="21"/>
      <c r="D201" s="23"/>
    </row>
    <row r="202" spans="1:4" x14ac:dyDescent="0.25">
      <c r="A202" s="13" t="s">
        <v>43</v>
      </c>
      <c r="B202" s="19">
        <v>4</v>
      </c>
      <c r="C202" s="21"/>
      <c r="D202" s="23"/>
    </row>
    <row r="203" spans="1:4" x14ac:dyDescent="0.25">
      <c r="A203" s="13" t="s">
        <v>43</v>
      </c>
      <c r="B203" s="19">
        <v>10</v>
      </c>
      <c r="C203" s="21"/>
      <c r="D203" s="23"/>
    </row>
    <row r="204" spans="1:4" x14ac:dyDescent="0.25">
      <c r="A204" s="13" t="s">
        <v>43</v>
      </c>
      <c r="B204" s="19">
        <v>20</v>
      </c>
      <c r="C204" s="21"/>
      <c r="D204" s="23"/>
    </row>
    <row r="205" spans="1:4" x14ac:dyDescent="0.25">
      <c r="A205" s="13"/>
      <c r="B205" s="19"/>
      <c r="C205" s="21"/>
      <c r="D205" s="23"/>
    </row>
    <row r="206" spans="1:4" x14ac:dyDescent="0.25">
      <c r="A206" s="13" t="s">
        <v>3456</v>
      </c>
      <c r="B206" s="19">
        <v>1</v>
      </c>
      <c r="C206" s="21">
        <v>1400</v>
      </c>
      <c r="D206" s="23">
        <v>2140</v>
      </c>
    </row>
    <row r="207" spans="1:4" x14ac:dyDescent="0.25">
      <c r="A207" s="13" t="s">
        <v>3456</v>
      </c>
      <c r="B207" s="19">
        <v>4</v>
      </c>
      <c r="C207" s="21">
        <v>5400</v>
      </c>
      <c r="D207" s="23">
        <v>8025</v>
      </c>
    </row>
    <row r="208" spans="1:4" x14ac:dyDescent="0.25">
      <c r="A208" s="13" t="s">
        <v>3456</v>
      </c>
      <c r="B208" s="19">
        <v>10</v>
      </c>
      <c r="C208" s="21">
        <v>12700</v>
      </c>
      <c r="D208" s="23">
        <v>19046</v>
      </c>
    </row>
    <row r="209" spans="1:4" x14ac:dyDescent="0.25">
      <c r="A209" s="13" t="s">
        <v>3456</v>
      </c>
      <c r="B209" s="19">
        <v>20</v>
      </c>
      <c r="C209" s="21">
        <v>24500</v>
      </c>
      <c r="D209" s="23">
        <v>36594</v>
      </c>
    </row>
    <row r="210" spans="1:4" x14ac:dyDescent="0.25">
      <c r="A210" s="13" t="s">
        <v>45</v>
      </c>
      <c r="B210" s="19">
        <v>1</v>
      </c>
      <c r="C210" s="21"/>
      <c r="D210" s="23"/>
    </row>
    <row r="211" spans="1:4" x14ac:dyDescent="0.25">
      <c r="A211" s="13" t="s">
        <v>45</v>
      </c>
      <c r="B211" s="19">
        <v>4</v>
      </c>
      <c r="C211" s="21"/>
      <c r="D211" s="23"/>
    </row>
    <row r="212" spans="1:4" x14ac:dyDescent="0.25">
      <c r="A212" s="13" t="s">
        <v>45</v>
      </c>
      <c r="B212" s="19">
        <v>10</v>
      </c>
      <c r="C212" s="21"/>
      <c r="D212" s="23"/>
    </row>
    <row r="213" spans="1:4" x14ac:dyDescent="0.25">
      <c r="A213" s="13" t="s">
        <v>45</v>
      </c>
      <c r="B213" s="19">
        <v>20</v>
      </c>
      <c r="C213" s="21"/>
      <c r="D213" s="23"/>
    </row>
    <row r="214" spans="1:4" x14ac:dyDescent="0.25">
      <c r="A214" s="13" t="s">
        <v>46</v>
      </c>
      <c r="B214" s="19">
        <v>1</v>
      </c>
      <c r="C214" s="21"/>
      <c r="D214" s="23"/>
    </row>
    <row r="215" spans="1:4" x14ac:dyDescent="0.25">
      <c r="A215" s="13" t="s">
        <v>46</v>
      </c>
      <c r="B215" s="19">
        <v>4</v>
      </c>
      <c r="C215" s="21"/>
      <c r="D215" s="23"/>
    </row>
    <row r="216" spans="1:4" x14ac:dyDescent="0.25">
      <c r="A216" s="13" t="s">
        <v>46</v>
      </c>
      <c r="B216" s="19">
        <v>10</v>
      </c>
      <c r="C216" s="21"/>
      <c r="D216" s="23"/>
    </row>
    <row r="217" spans="1:4" x14ac:dyDescent="0.25">
      <c r="A217" s="13" t="s">
        <v>46</v>
      </c>
      <c r="B217" s="19">
        <v>20</v>
      </c>
      <c r="C217" s="21"/>
      <c r="D217" s="23"/>
    </row>
    <row r="218" spans="1:4" x14ac:dyDescent="0.25">
      <c r="A218" s="13"/>
      <c r="B218" s="19"/>
      <c r="C218" s="21"/>
      <c r="D218" s="23"/>
    </row>
    <row r="219" spans="1:4" x14ac:dyDescent="0.25">
      <c r="A219" s="13" t="s">
        <v>47</v>
      </c>
      <c r="B219" s="19">
        <v>1</v>
      </c>
      <c r="C219" s="21">
        <v>260</v>
      </c>
      <c r="D219" s="23">
        <v>317</v>
      </c>
    </row>
    <row r="220" spans="1:4" x14ac:dyDescent="0.25">
      <c r="A220" s="13" t="s">
        <v>47</v>
      </c>
      <c r="B220" s="19">
        <v>5</v>
      </c>
      <c r="C220" s="21">
        <v>1100</v>
      </c>
      <c r="D220" s="23">
        <v>1342</v>
      </c>
    </row>
    <row r="221" spans="1:4" x14ac:dyDescent="0.25">
      <c r="A221" s="13" t="s">
        <v>47</v>
      </c>
      <c r="B221" s="19">
        <v>10</v>
      </c>
      <c r="C221" s="21">
        <v>2100</v>
      </c>
      <c r="D221" s="23">
        <v>2570</v>
      </c>
    </row>
    <row r="222" spans="1:4" x14ac:dyDescent="0.25">
      <c r="A222" s="13" t="s">
        <v>47</v>
      </c>
      <c r="B222" s="19">
        <v>20</v>
      </c>
      <c r="C222" s="21">
        <v>3900</v>
      </c>
      <c r="D222" s="23">
        <v>4964</v>
      </c>
    </row>
    <row r="223" spans="1:4" x14ac:dyDescent="0.25">
      <c r="A223" s="13" t="s">
        <v>48</v>
      </c>
      <c r="B223" s="19">
        <v>1</v>
      </c>
      <c r="C223" s="21"/>
      <c r="D223" s="23"/>
    </row>
    <row r="224" spans="1:4" x14ac:dyDescent="0.25">
      <c r="A224" s="13" t="s">
        <v>48</v>
      </c>
      <c r="B224" s="19">
        <v>5</v>
      </c>
      <c r="C224" s="21"/>
      <c r="D224" s="23"/>
    </row>
    <row r="225" spans="1:4" x14ac:dyDescent="0.25">
      <c r="A225" s="13" t="s">
        <v>48</v>
      </c>
      <c r="B225" s="19">
        <v>10</v>
      </c>
      <c r="C225" s="21"/>
      <c r="D225" s="23"/>
    </row>
    <row r="226" spans="1:4" x14ac:dyDescent="0.25">
      <c r="A226" s="13" t="s">
        <v>48</v>
      </c>
      <c r="B226" s="19">
        <v>20</v>
      </c>
      <c r="C226" s="21"/>
      <c r="D226" s="23"/>
    </row>
    <row r="227" spans="1:4" x14ac:dyDescent="0.25">
      <c r="A227" s="13"/>
      <c r="B227" s="19"/>
      <c r="C227" s="21"/>
      <c r="D227" s="23"/>
    </row>
    <row r="228" spans="1:4" x14ac:dyDescent="0.25">
      <c r="A228" s="13" t="s">
        <v>3464</v>
      </c>
      <c r="B228" s="19">
        <v>1</v>
      </c>
      <c r="C228" s="21">
        <v>175</v>
      </c>
      <c r="D228" s="23">
        <v>223</v>
      </c>
    </row>
    <row r="229" spans="1:4" x14ac:dyDescent="0.25">
      <c r="A229" s="13" t="s">
        <v>3464</v>
      </c>
      <c r="B229" s="19">
        <v>5</v>
      </c>
      <c r="C229" s="21">
        <v>700</v>
      </c>
      <c r="D229" s="23">
        <v>913</v>
      </c>
    </row>
    <row r="230" spans="1:4" x14ac:dyDescent="0.25">
      <c r="A230" s="13" t="s">
        <v>3464</v>
      </c>
      <c r="B230" s="19">
        <v>10</v>
      </c>
      <c r="C230" s="21">
        <v>1200</v>
      </c>
      <c r="D230" s="23">
        <v>1741</v>
      </c>
    </row>
    <row r="231" spans="1:4" x14ac:dyDescent="0.25">
      <c r="A231" s="13" t="s">
        <v>3464</v>
      </c>
      <c r="B231" s="19">
        <v>20</v>
      </c>
      <c r="C231" s="21">
        <v>2200</v>
      </c>
      <c r="D231" s="23">
        <v>3307</v>
      </c>
    </row>
    <row r="232" spans="1:4" x14ac:dyDescent="0.25">
      <c r="A232" s="13"/>
      <c r="B232" s="19"/>
      <c r="C232" s="21"/>
      <c r="D232" s="23"/>
    </row>
    <row r="233" spans="1:4" x14ac:dyDescent="0.25">
      <c r="A233" s="13" t="s">
        <v>51</v>
      </c>
      <c r="B233" s="19">
        <v>1</v>
      </c>
      <c r="C233" s="21">
        <v>375</v>
      </c>
      <c r="D233" s="23">
        <v>562</v>
      </c>
    </row>
    <row r="234" spans="1:4" x14ac:dyDescent="0.25">
      <c r="A234" s="13" t="s">
        <v>51</v>
      </c>
      <c r="B234" s="19">
        <v>4</v>
      </c>
      <c r="C234" s="21">
        <v>1300</v>
      </c>
      <c r="D234" s="23">
        <v>1964</v>
      </c>
    </row>
    <row r="235" spans="1:4" x14ac:dyDescent="0.25">
      <c r="A235" s="13" t="s">
        <v>51</v>
      </c>
      <c r="B235" s="19">
        <v>10</v>
      </c>
      <c r="C235" s="21">
        <v>2900</v>
      </c>
      <c r="D235" s="23">
        <v>4689</v>
      </c>
    </row>
    <row r="236" spans="1:4" x14ac:dyDescent="0.25">
      <c r="A236" s="13" t="s">
        <v>51</v>
      </c>
      <c r="B236" s="19">
        <v>20</v>
      </c>
      <c r="C236" s="21">
        <v>5500</v>
      </c>
      <c r="D236" s="23">
        <v>8882</v>
      </c>
    </row>
    <row r="237" spans="1:4" x14ac:dyDescent="0.25">
      <c r="A237" s="13"/>
      <c r="B237" s="19"/>
      <c r="C237" s="21"/>
      <c r="D237" s="23"/>
    </row>
    <row r="238" spans="1:4" x14ac:dyDescent="0.25">
      <c r="A238" s="13" t="s">
        <v>52</v>
      </c>
      <c r="B238" s="19">
        <v>1</v>
      </c>
      <c r="C238" s="21">
        <v>325</v>
      </c>
      <c r="D238" s="23">
        <v>403</v>
      </c>
    </row>
    <row r="239" spans="1:4" x14ac:dyDescent="0.25">
      <c r="A239" s="13" t="s">
        <v>52</v>
      </c>
      <c r="B239" s="19">
        <v>4</v>
      </c>
      <c r="C239" s="21">
        <v>1050</v>
      </c>
      <c r="D239" s="23">
        <v>1418</v>
      </c>
    </row>
    <row r="240" spans="1:4" ht="15" customHeight="1" x14ac:dyDescent="0.25">
      <c r="A240" s="13" t="s">
        <v>52</v>
      </c>
      <c r="B240" s="19">
        <v>10</v>
      </c>
      <c r="C240" s="21">
        <v>2250</v>
      </c>
      <c r="D240" s="23">
        <v>3271</v>
      </c>
    </row>
    <row r="241" spans="1:4" x14ac:dyDescent="0.25">
      <c r="A241" s="13" t="s">
        <v>52</v>
      </c>
      <c r="B241" s="19">
        <v>20</v>
      </c>
      <c r="C241" s="21">
        <v>4000</v>
      </c>
      <c r="D241" s="23">
        <v>5999</v>
      </c>
    </row>
    <row r="242" spans="1:4" x14ac:dyDescent="0.25">
      <c r="A242" s="13"/>
      <c r="B242" s="19"/>
      <c r="C242" s="21"/>
      <c r="D242" s="23"/>
    </row>
    <row r="243" spans="1:4" x14ac:dyDescent="0.25">
      <c r="A243" s="13" t="s">
        <v>53</v>
      </c>
      <c r="B243" s="19">
        <v>1</v>
      </c>
      <c r="C243" s="21">
        <v>300</v>
      </c>
      <c r="D243" s="23">
        <v>481</v>
      </c>
    </row>
    <row r="244" spans="1:4" x14ac:dyDescent="0.25">
      <c r="A244" s="13" t="s">
        <v>53</v>
      </c>
      <c r="B244" s="19">
        <v>4</v>
      </c>
      <c r="C244" s="21">
        <v>1100</v>
      </c>
      <c r="D244" s="23">
        <v>1672</v>
      </c>
    </row>
    <row r="245" spans="1:4" x14ac:dyDescent="0.25">
      <c r="A245" s="13" t="s">
        <v>53</v>
      </c>
      <c r="B245" s="19">
        <v>10</v>
      </c>
      <c r="C245" s="21">
        <v>2650</v>
      </c>
      <c r="D245" s="23">
        <v>4010</v>
      </c>
    </row>
    <row r="246" spans="1:4" x14ac:dyDescent="0.25">
      <c r="A246" s="13" t="s">
        <v>53</v>
      </c>
      <c r="B246" s="19">
        <v>20</v>
      </c>
      <c r="C246" s="21">
        <v>5050</v>
      </c>
      <c r="D246" s="23">
        <v>7583</v>
      </c>
    </row>
    <row r="247" spans="1:4" x14ac:dyDescent="0.25">
      <c r="A247" s="13"/>
      <c r="B247" s="19"/>
      <c r="C247" s="21"/>
      <c r="D247" s="23"/>
    </row>
    <row r="248" spans="1:4" x14ac:dyDescent="0.25">
      <c r="A248" s="13" t="s">
        <v>54</v>
      </c>
      <c r="B248" s="15">
        <v>1</v>
      </c>
      <c r="C248" s="21">
        <v>275</v>
      </c>
      <c r="D248" s="23">
        <v>377</v>
      </c>
    </row>
    <row r="249" spans="1:4" x14ac:dyDescent="0.25">
      <c r="A249" s="13" t="s">
        <v>55</v>
      </c>
      <c r="B249" s="15">
        <v>4</v>
      </c>
      <c r="C249" s="21">
        <v>1050</v>
      </c>
      <c r="D249" s="23">
        <v>1264</v>
      </c>
    </row>
    <row r="250" spans="1:4" x14ac:dyDescent="0.25">
      <c r="A250" s="13" t="s">
        <v>55</v>
      </c>
      <c r="B250" s="15">
        <v>10</v>
      </c>
      <c r="C250" s="21">
        <v>2000</v>
      </c>
      <c r="D250" s="23">
        <v>2768</v>
      </c>
    </row>
    <row r="251" spans="1:4" x14ac:dyDescent="0.25">
      <c r="A251" s="13" t="s">
        <v>55</v>
      </c>
      <c r="B251" s="15">
        <v>20</v>
      </c>
      <c r="C251" s="21">
        <v>3700</v>
      </c>
      <c r="D251" s="23">
        <v>5267</v>
      </c>
    </row>
    <row r="252" spans="1:4" x14ac:dyDescent="0.25">
      <c r="A252" s="16"/>
      <c r="B252" s="15"/>
      <c r="C252" s="21"/>
      <c r="D252" s="23"/>
    </row>
    <row r="253" spans="1:4" ht="15" customHeight="1" x14ac:dyDescent="0.25">
      <c r="A253" s="13" t="s">
        <v>56</v>
      </c>
      <c r="B253" s="19">
        <v>0.5</v>
      </c>
      <c r="C253" s="21">
        <v>325</v>
      </c>
      <c r="D253" s="23">
        <v>372</v>
      </c>
    </row>
    <row r="254" spans="1:4" x14ac:dyDescent="0.25">
      <c r="A254" s="13" t="s">
        <v>56</v>
      </c>
      <c r="B254" s="19">
        <v>1</v>
      </c>
      <c r="C254" s="21">
        <v>600</v>
      </c>
      <c r="D254" s="23">
        <v>670</v>
      </c>
    </row>
    <row r="255" spans="1:4" x14ac:dyDescent="0.25">
      <c r="A255" s="13" t="s">
        <v>56</v>
      </c>
      <c r="B255" s="19">
        <v>4</v>
      </c>
      <c r="C255" s="21">
        <v>2200</v>
      </c>
      <c r="D255" s="23">
        <v>2510</v>
      </c>
    </row>
    <row r="256" spans="1:4" x14ac:dyDescent="0.25">
      <c r="A256" s="13" t="s">
        <v>56</v>
      </c>
      <c r="B256" s="19">
        <v>20</v>
      </c>
      <c r="C256" s="21"/>
      <c r="D256" s="23">
        <v>11438</v>
      </c>
    </row>
    <row r="257" spans="1:4" x14ac:dyDescent="0.25">
      <c r="A257" s="13"/>
      <c r="B257" s="19"/>
      <c r="C257" s="21"/>
      <c r="D257" s="23"/>
    </row>
    <row r="258" spans="1:4" ht="15" customHeight="1" x14ac:dyDescent="0.25">
      <c r="A258" s="13" t="s">
        <v>57</v>
      </c>
      <c r="B258" s="19">
        <v>0.5</v>
      </c>
      <c r="C258" s="21">
        <v>300</v>
      </c>
      <c r="D258" s="23">
        <v>301</v>
      </c>
    </row>
    <row r="259" spans="1:4" x14ac:dyDescent="0.25">
      <c r="A259" s="13" t="s">
        <v>57</v>
      </c>
      <c r="B259" s="19">
        <v>1</v>
      </c>
      <c r="C259" s="21">
        <v>550</v>
      </c>
      <c r="D259" s="23">
        <v>544</v>
      </c>
    </row>
    <row r="260" spans="1:4" x14ac:dyDescent="0.25">
      <c r="A260" s="13" t="s">
        <v>57</v>
      </c>
      <c r="B260" s="19">
        <v>4</v>
      </c>
      <c r="C260" s="21">
        <v>2000</v>
      </c>
      <c r="D260" s="23">
        <v>2008</v>
      </c>
    </row>
    <row r="261" spans="1:4" x14ac:dyDescent="0.25">
      <c r="A261" s="13" t="s">
        <v>57</v>
      </c>
      <c r="B261" s="19">
        <v>20</v>
      </c>
      <c r="C261" s="21">
        <v>9000</v>
      </c>
      <c r="D261" s="23">
        <v>9206</v>
      </c>
    </row>
    <row r="262" spans="1:4" x14ac:dyDescent="0.25">
      <c r="A262" s="13"/>
      <c r="B262" s="19"/>
      <c r="C262" s="21"/>
      <c r="D262" s="23"/>
    </row>
    <row r="263" spans="1:4" x14ac:dyDescent="0.25">
      <c r="A263" s="16" t="s">
        <v>58</v>
      </c>
      <c r="B263" s="19">
        <v>0.5</v>
      </c>
      <c r="C263" s="21">
        <v>200</v>
      </c>
      <c r="D263" s="23">
        <v>263</v>
      </c>
    </row>
    <row r="264" spans="1:4" x14ac:dyDescent="0.25">
      <c r="A264" s="16" t="s">
        <v>58</v>
      </c>
      <c r="B264" s="19">
        <v>1</v>
      </c>
      <c r="C264" s="21">
        <v>375</v>
      </c>
      <c r="D264" s="23">
        <v>491</v>
      </c>
    </row>
    <row r="265" spans="1:4" x14ac:dyDescent="0.25">
      <c r="A265" s="16" t="s">
        <v>58</v>
      </c>
      <c r="B265" s="19">
        <v>4</v>
      </c>
      <c r="C265" s="21">
        <v>1400</v>
      </c>
      <c r="D265" s="23">
        <v>1802</v>
      </c>
    </row>
    <row r="266" spans="1:4" x14ac:dyDescent="0.25">
      <c r="A266" s="16" t="s">
        <v>58</v>
      </c>
      <c r="B266" s="19">
        <v>20</v>
      </c>
      <c r="C266" s="21">
        <v>6500</v>
      </c>
      <c r="D266" s="23">
        <v>8256</v>
      </c>
    </row>
    <row r="267" spans="1:4" x14ac:dyDescent="0.25">
      <c r="A267" s="16"/>
      <c r="B267" s="19"/>
      <c r="C267" s="21"/>
      <c r="D267" s="23"/>
    </row>
    <row r="268" spans="1:4" x14ac:dyDescent="0.25">
      <c r="A268" s="17" t="s">
        <v>59</v>
      </c>
      <c r="B268" s="15">
        <v>0.1</v>
      </c>
      <c r="C268" s="21">
        <v>375</v>
      </c>
      <c r="D268" s="23">
        <v>375</v>
      </c>
    </row>
    <row r="269" spans="1:4" x14ac:dyDescent="0.25">
      <c r="A269" s="17" t="s">
        <v>59</v>
      </c>
      <c r="B269" s="15">
        <v>0.2</v>
      </c>
      <c r="C269" s="21">
        <v>675</v>
      </c>
      <c r="D269" s="23">
        <v>735</v>
      </c>
    </row>
    <row r="270" spans="1:4" x14ac:dyDescent="0.25">
      <c r="A270" s="17" t="s">
        <v>59</v>
      </c>
      <c r="B270" s="15">
        <v>0.5</v>
      </c>
      <c r="C270" s="21">
        <v>1650</v>
      </c>
      <c r="D270" s="23">
        <v>1775</v>
      </c>
    </row>
    <row r="271" spans="1:4" x14ac:dyDescent="0.25">
      <c r="A271" s="17" t="s">
        <v>59</v>
      </c>
      <c r="B271" s="15">
        <v>1</v>
      </c>
      <c r="C271" s="21">
        <v>3100</v>
      </c>
      <c r="D271" s="23">
        <v>3350</v>
      </c>
    </row>
    <row r="272" spans="1:4" x14ac:dyDescent="0.25">
      <c r="A272" s="17" t="s">
        <v>59</v>
      </c>
      <c r="B272" s="15">
        <v>4</v>
      </c>
      <c r="C272" s="21">
        <v>10900</v>
      </c>
      <c r="D272" s="23">
        <v>12275</v>
      </c>
    </row>
    <row r="273" spans="1:4" x14ac:dyDescent="0.25">
      <c r="A273" s="16"/>
      <c r="B273" s="19"/>
      <c r="C273" s="21"/>
      <c r="D273" s="23"/>
    </row>
    <row r="274" spans="1:4" x14ac:dyDescent="0.25">
      <c r="A274" s="13" t="s">
        <v>60</v>
      </c>
      <c r="B274" s="19">
        <v>0.5</v>
      </c>
      <c r="C274" s="21">
        <v>450</v>
      </c>
      <c r="D274" s="23">
        <v>566</v>
      </c>
    </row>
    <row r="275" spans="1:4" x14ac:dyDescent="0.25">
      <c r="A275" s="13" t="s">
        <v>60</v>
      </c>
      <c r="B275" s="19">
        <v>1</v>
      </c>
      <c r="C275" s="21">
        <v>850</v>
      </c>
      <c r="D275" s="23">
        <v>1092</v>
      </c>
    </row>
    <row r="276" spans="1:4" ht="16.5" customHeight="1" x14ac:dyDescent="0.25">
      <c r="A276" s="13" t="s">
        <v>60</v>
      </c>
      <c r="B276" s="19">
        <v>4</v>
      </c>
      <c r="C276" s="21">
        <v>3200</v>
      </c>
      <c r="D276" s="23">
        <v>4229</v>
      </c>
    </row>
    <row r="277" spans="1:4" ht="16.5" customHeight="1" x14ac:dyDescent="0.25">
      <c r="A277" s="13" t="s">
        <v>60</v>
      </c>
      <c r="B277" s="19">
        <v>20</v>
      </c>
      <c r="C277" s="21"/>
      <c r="D277" s="23">
        <v>20434</v>
      </c>
    </row>
    <row r="278" spans="1:4" ht="16.5" customHeight="1" x14ac:dyDescent="0.25">
      <c r="A278" s="13"/>
      <c r="B278" s="19"/>
      <c r="C278" s="21"/>
      <c r="D278" s="23"/>
    </row>
    <row r="279" spans="1:4" ht="14.25" customHeight="1" x14ac:dyDescent="0.25">
      <c r="A279" s="13" t="s">
        <v>61</v>
      </c>
      <c r="B279" s="19">
        <v>0.5</v>
      </c>
      <c r="C279" s="21">
        <v>425</v>
      </c>
      <c r="D279" s="23">
        <v>513</v>
      </c>
    </row>
    <row r="280" spans="1:4" ht="16.5" customHeight="1" x14ac:dyDescent="0.25">
      <c r="A280" s="13" t="s">
        <v>61</v>
      </c>
      <c r="B280" s="19">
        <v>1</v>
      </c>
      <c r="C280" s="21">
        <v>800</v>
      </c>
      <c r="D280" s="23">
        <v>974</v>
      </c>
    </row>
    <row r="281" spans="1:4" ht="16.5" customHeight="1" x14ac:dyDescent="0.25">
      <c r="A281" s="13" t="s">
        <v>61</v>
      </c>
      <c r="B281" s="19">
        <v>4</v>
      </c>
      <c r="C281" s="21">
        <v>3000</v>
      </c>
      <c r="D281" s="23">
        <v>3752</v>
      </c>
    </row>
    <row r="282" spans="1:4" ht="16.5" customHeight="1" x14ac:dyDescent="0.25">
      <c r="A282" s="13" t="s">
        <v>61</v>
      </c>
      <c r="B282" s="19">
        <v>20</v>
      </c>
      <c r="C282" s="21" t="s">
        <v>49</v>
      </c>
      <c r="D282" s="23">
        <v>17899</v>
      </c>
    </row>
    <row r="283" spans="1:4" x14ac:dyDescent="0.25">
      <c r="A283" s="13"/>
      <c r="B283" s="19"/>
      <c r="C283" s="21"/>
      <c r="D283" s="23"/>
    </row>
    <row r="284" spans="1:4" x14ac:dyDescent="0.25">
      <c r="A284" s="13" t="s">
        <v>62</v>
      </c>
      <c r="B284" s="19">
        <v>0.5</v>
      </c>
      <c r="C284" s="21">
        <v>475</v>
      </c>
      <c r="D284" s="23">
        <v>553</v>
      </c>
    </row>
    <row r="285" spans="1:4" x14ac:dyDescent="0.25">
      <c r="A285" s="13" t="s">
        <v>62</v>
      </c>
      <c r="B285" s="19">
        <v>1</v>
      </c>
      <c r="C285" s="21">
        <v>875</v>
      </c>
      <c r="D285" s="23">
        <v>1079</v>
      </c>
    </row>
    <row r="286" spans="1:4" x14ac:dyDescent="0.25">
      <c r="A286" s="13" t="s">
        <v>62</v>
      </c>
      <c r="B286" s="19">
        <v>4</v>
      </c>
      <c r="C286" s="21">
        <v>3300</v>
      </c>
      <c r="D286" s="23">
        <v>4102</v>
      </c>
    </row>
    <row r="287" spans="1:4" x14ac:dyDescent="0.25">
      <c r="A287" s="13" t="s">
        <v>62</v>
      </c>
      <c r="B287" s="19">
        <v>20</v>
      </c>
      <c r="C287" s="21"/>
      <c r="D287" s="23">
        <v>19848</v>
      </c>
    </row>
    <row r="288" spans="1:4" x14ac:dyDescent="0.25">
      <c r="A288" s="13"/>
      <c r="B288" s="19"/>
      <c r="C288" s="21"/>
      <c r="D288" s="23"/>
    </row>
    <row r="289" spans="1:4" x14ac:dyDescent="0.25">
      <c r="A289" s="13" t="s">
        <v>63</v>
      </c>
      <c r="B289" s="19">
        <v>1</v>
      </c>
      <c r="C289" s="21">
        <v>800</v>
      </c>
      <c r="D289" s="23">
        <v>978</v>
      </c>
    </row>
    <row r="290" spans="1:4" x14ac:dyDescent="0.25">
      <c r="A290" s="13" t="s">
        <v>63</v>
      </c>
      <c r="B290" s="19">
        <v>4</v>
      </c>
      <c r="C290" s="21">
        <v>3000</v>
      </c>
      <c r="D290" s="23">
        <v>3787</v>
      </c>
    </row>
    <row r="291" spans="1:4" x14ac:dyDescent="0.25">
      <c r="A291" s="13" t="s">
        <v>63</v>
      </c>
      <c r="B291" s="19">
        <v>20</v>
      </c>
      <c r="C291" s="21" t="s">
        <v>64</v>
      </c>
      <c r="D291" s="23"/>
    </row>
    <row r="292" spans="1:4" x14ac:dyDescent="0.25">
      <c r="A292" s="13" t="s">
        <v>65</v>
      </c>
      <c r="B292" s="19">
        <v>1</v>
      </c>
      <c r="C292" s="21"/>
      <c r="D292" s="23"/>
    </row>
    <row r="293" spans="1:4" x14ac:dyDescent="0.25">
      <c r="A293" s="13" t="s">
        <v>65</v>
      </c>
      <c r="B293" s="19">
        <v>4</v>
      </c>
      <c r="C293" s="21"/>
      <c r="D293" s="23"/>
    </row>
    <row r="294" spans="1:4" x14ac:dyDescent="0.25">
      <c r="A294" s="13" t="s">
        <v>65</v>
      </c>
      <c r="B294" s="19">
        <v>20</v>
      </c>
      <c r="C294" s="21"/>
      <c r="D294" s="23"/>
    </row>
    <row r="295" spans="1:4" x14ac:dyDescent="0.25">
      <c r="A295" s="13" t="s">
        <v>66</v>
      </c>
      <c r="B295" s="19">
        <v>0.95</v>
      </c>
      <c r="C295" s="21"/>
      <c r="D295" s="23"/>
    </row>
    <row r="296" spans="1:4" x14ac:dyDescent="0.25">
      <c r="A296" s="13" t="s">
        <v>66</v>
      </c>
      <c r="B296" s="19">
        <v>3.8</v>
      </c>
      <c r="C296" s="21"/>
      <c r="D296" s="23"/>
    </row>
    <row r="297" spans="1:4" x14ac:dyDescent="0.25">
      <c r="A297" s="13" t="s">
        <v>66</v>
      </c>
      <c r="B297" s="19">
        <v>19</v>
      </c>
      <c r="C297" s="21"/>
      <c r="D297" s="23"/>
    </row>
    <row r="298" spans="1:4" x14ac:dyDescent="0.25">
      <c r="A298" s="13" t="s">
        <v>67</v>
      </c>
      <c r="B298" s="19">
        <v>0.95</v>
      </c>
      <c r="C298" s="21"/>
      <c r="D298" s="23"/>
    </row>
    <row r="299" spans="1:4" x14ac:dyDescent="0.25">
      <c r="A299" s="13" t="s">
        <v>67</v>
      </c>
      <c r="B299" s="19">
        <v>3.8</v>
      </c>
      <c r="C299" s="21"/>
      <c r="D299" s="23"/>
    </row>
    <row r="300" spans="1:4" ht="15" customHeight="1" x14ac:dyDescent="0.25">
      <c r="A300" s="13" t="s">
        <v>67</v>
      </c>
      <c r="B300" s="19">
        <v>19</v>
      </c>
      <c r="C300" s="21"/>
      <c r="D300" s="23"/>
    </row>
    <row r="301" spans="1:4" ht="15.75" customHeight="1" x14ac:dyDescent="0.25">
      <c r="A301" s="13" t="s">
        <v>68</v>
      </c>
      <c r="B301" s="19">
        <v>0.92500000000000004</v>
      </c>
      <c r="C301" s="21"/>
      <c r="D301" s="23"/>
    </row>
    <row r="302" spans="1:4" ht="15.75" customHeight="1" x14ac:dyDescent="0.25">
      <c r="A302" s="13" t="s">
        <v>68</v>
      </c>
      <c r="B302" s="19">
        <v>3.7</v>
      </c>
      <c r="C302" s="21"/>
      <c r="D302" s="23"/>
    </row>
    <row r="303" spans="1:4" x14ac:dyDescent="0.25">
      <c r="A303" s="13" t="s">
        <v>68</v>
      </c>
      <c r="B303" s="19">
        <v>18.5</v>
      </c>
      <c r="C303" s="21"/>
      <c r="D303" s="23"/>
    </row>
    <row r="304" spans="1:4" x14ac:dyDescent="0.25">
      <c r="A304" s="13" t="s">
        <v>69</v>
      </c>
      <c r="B304" s="19">
        <v>0.9</v>
      </c>
      <c r="C304" s="21"/>
      <c r="D304" s="23"/>
    </row>
    <row r="305" spans="1:4" x14ac:dyDescent="0.25">
      <c r="A305" s="13" t="s">
        <v>69</v>
      </c>
      <c r="B305" s="19">
        <v>3.6</v>
      </c>
      <c r="C305" s="21"/>
      <c r="D305" s="23"/>
    </row>
    <row r="306" spans="1:4" x14ac:dyDescent="0.25">
      <c r="A306" s="13" t="s">
        <v>69</v>
      </c>
      <c r="B306" s="19">
        <v>18</v>
      </c>
      <c r="C306" s="21"/>
      <c r="D306" s="23"/>
    </row>
    <row r="307" spans="1:4" x14ac:dyDescent="0.25">
      <c r="A307" s="13" t="s">
        <v>70</v>
      </c>
      <c r="B307" s="19"/>
      <c r="C307" s="21"/>
      <c r="D307" s="23"/>
    </row>
    <row r="308" spans="1:4" x14ac:dyDescent="0.25">
      <c r="A308" s="13" t="s">
        <v>71</v>
      </c>
      <c r="B308" s="19">
        <v>0.5</v>
      </c>
      <c r="C308" s="21">
        <v>325</v>
      </c>
      <c r="D308" s="23">
        <v>384</v>
      </c>
    </row>
    <row r="309" spans="1:4" x14ac:dyDescent="0.25">
      <c r="A309" s="13" t="s">
        <v>71</v>
      </c>
      <c r="B309" s="19">
        <v>1</v>
      </c>
      <c r="C309" s="21">
        <v>600</v>
      </c>
      <c r="D309" s="23">
        <v>731</v>
      </c>
    </row>
    <row r="310" spans="1:4" x14ac:dyDescent="0.25">
      <c r="A310" s="13" t="s">
        <v>71</v>
      </c>
      <c r="B310" s="19">
        <v>4</v>
      </c>
      <c r="C310" s="21">
        <v>2250</v>
      </c>
      <c r="D310" s="23">
        <v>2780</v>
      </c>
    </row>
    <row r="311" spans="1:4" x14ac:dyDescent="0.25">
      <c r="A311" s="13" t="s">
        <v>72</v>
      </c>
      <c r="B311" s="19">
        <v>0.5</v>
      </c>
      <c r="C311" s="21">
        <v>285</v>
      </c>
      <c r="D311" s="23">
        <v>384</v>
      </c>
    </row>
    <row r="312" spans="1:4" x14ac:dyDescent="0.25">
      <c r="A312" s="13" t="s">
        <v>72</v>
      </c>
      <c r="B312" s="19">
        <v>1</v>
      </c>
      <c r="C312" s="21">
        <v>550</v>
      </c>
      <c r="D312" s="23">
        <v>685</v>
      </c>
    </row>
    <row r="313" spans="1:4" x14ac:dyDescent="0.25">
      <c r="A313" s="13" t="s">
        <v>72</v>
      </c>
      <c r="B313" s="19">
        <v>4</v>
      </c>
      <c r="C313" s="21">
        <v>2100</v>
      </c>
      <c r="D313" s="23">
        <v>2587</v>
      </c>
    </row>
    <row r="314" spans="1:4" x14ac:dyDescent="0.25">
      <c r="A314" s="36"/>
      <c r="B314" s="19"/>
      <c r="C314" s="21"/>
      <c r="D314" s="23"/>
    </row>
    <row r="315" spans="1:4" x14ac:dyDescent="0.25">
      <c r="A315" s="13" t="s">
        <v>73</v>
      </c>
      <c r="B315" s="19">
        <v>1</v>
      </c>
      <c r="C315" s="21">
        <v>1100</v>
      </c>
      <c r="D315" s="23">
        <v>1197</v>
      </c>
    </row>
    <row r="316" spans="1:4" x14ac:dyDescent="0.25">
      <c r="A316" s="13" t="s">
        <v>73</v>
      </c>
      <c r="B316" s="19">
        <v>4</v>
      </c>
      <c r="C316" s="21">
        <v>4200</v>
      </c>
      <c r="D316" s="23">
        <v>4601</v>
      </c>
    </row>
    <row r="317" spans="1:4" x14ac:dyDescent="0.25">
      <c r="A317" s="13" t="s">
        <v>74</v>
      </c>
      <c r="B317" s="19">
        <v>1</v>
      </c>
      <c r="C317" s="21">
        <v>1100</v>
      </c>
      <c r="D317" s="23">
        <v>1197</v>
      </c>
    </row>
    <row r="318" spans="1:4" x14ac:dyDescent="0.25">
      <c r="A318" s="13" t="s">
        <v>74</v>
      </c>
      <c r="B318" s="19">
        <v>4</v>
      </c>
      <c r="C318" s="21">
        <v>4200</v>
      </c>
      <c r="D318" s="23">
        <v>4602</v>
      </c>
    </row>
    <row r="319" spans="1:4" x14ac:dyDescent="0.25">
      <c r="A319" s="13" t="s">
        <v>75</v>
      </c>
      <c r="B319" s="19">
        <v>1</v>
      </c>
      <c r="C319" s="21">
        <v>1100</v>
      </c>
      <c r="D319" s="23">
        <v>1197</v>
      </c>
    </row>
    <row r="320" spans="1:4" x14ac:dyDescent="0.25">
      <c r="A320" s="13" t="s">
        <v>75</v>
      </c>
      <c r="B320" s="19">
        <v>4</v>
      </c>
      <c r="C320" s="21">
        <v>4200</v>
      </c>
      <c r="D320" s="23">
        <v>4602</v>
      </c>
    </row>
    <row r="321" spans="1:4" x14ac:dyDescent="0.25">
      <c r="A321" s="13" t="s">
        <v>76</v>
      </c>
      <c r="B321" s="19">
        <v>1</v>
      </c>
      <c r="C321" s="21">
        <v>1100</v>
      </c>
      <c r="D321" s="23">
        <v>1197</v>
      </c>
    </row>
    <row r="322" spans="1:4" x14ac:dyDescent="0.25">
      <c r="A322" s="13" t="s">
        <v>76</v>
      </c>
      <c r="B322" s="19">
        <v>4</v>
      </c>
      <c r="C322" s="21">
        <v>4200</v>
      </c>
      <c r="D322" s="23">
        <v>4602</v>
      </c>
    </row>
    <row r="323" spans="1:4" x14ac:dyDescent="0.25">
      <c r="A323" s="13" t="s">
        <v>77</v>
      </c>
      <c r="B323" s="19">
        <v>1</v>
      </c>
      <c r="C323" s="21">
        <v>1300</v>
      </c>
      <c r="D323" s="23">
        <v>1197</v>
      </c>
    </row>
    <row r="324" spans="1:4" x14ac:dyDescent="0.25">
      <c r="A324" s="13" t="s">
        <v>77</v>
      </c>
      <c r="B324" s="19">
        <v>4</v>
      </c>
      <c r="C324" s="21">
        <v>4800</v>
      </c>
      <c r="D324" s="23">
        <v>4602</v>
      </c>
    </row>
    <row r="325" spans="1:4" x14ac:dyDescent="0.25">
      <c r="A325" s="13"/>
      <c r="B325" s="19"/>
      <c r="C325" s="21"/>
      <c r="D325" s="23"/>
    </row>
    <row r="326" spans="1:4" x14ac:dyDescent="0.25">
      <c r="A326" s="13" t="s">
        <v>78</v>
      </c>
      <c r="B326" s="19">
        <v>40</v>
      </c>
      <c r="C326" s="21">
        <v>1400</v>
      </c>
      <c r="D326" s="23">
        <v>2642</v>
      </c>
    </row>
    <row r="327" spans="1:4" x14ac:dyDescent="0.25">
      <c r="A327" s="13" t="s">
        <v>78</v>
      </c>
      <c r="B327" s="19">
        <v>40</v>
      </c>
      <c r="C327" s="21"/>
      <c r="D327" s="23">
        <v>1400</v>
      </c>
    </row>
    <row r="328" spans="1:4" x14ac:dyDescent="0.25">
      <c r="A328" s="13"/>
      <c r="B328" s="19"/>
      <c r="C328" s="21"/>
      <c r="D328" s="23"/>
    </row>
    <row r="329" spans="1:4" x14ac:dyDescent="0.25">
      <c r="A329" s="13" t="s">
        <v>79</v>
      </c>
      <c r="B329" s="19">
        <v>5</v>
      </c>
      <c r="C329" s="21">
        <v>800</v>
      </c>
      <c r="D329" s="23">
        <v>900</v>
      </c>
    </row>
    <row r="330" spans="1:4" x14ac:dyDescent="0.25">
      <c r="A330" s="13" t="s">
        <v>79</v>
      </c>
      <c r="B330" s="19">
        <v>10</v>
      </c>
      <c r="C330" s="21">
        <v>1550</v>
      </c>
      <c r="D330" s="23">
        <v>1680</v>
      </c>
    </row>
    <row r="331" spans="1:4" x14ac:dyDescent="0.25">
      <c r="A331" s="13" t="s">
        <v>79</v>
      </c>
      <c r="B331" s="19">
        <v>20</v>
      </c>
      <c r="C331" s="21">
        <v>3000</v>
      </c>
      <c r="D331" s="23">
        <v>3240</v>
      </c>
    </row>
    <row r="332" spans="1:4" x14ac:dyDescent="0.25">
      <c r="A332" s="13"/>
      <c r="B332" s="19"/>
      <c r="C332" s="21"/>
      <c r="D332" s="23"/>
    </row>
    <row r="333" spans="1:4" x14ac:dyDescent="0.25">
      <c r="A333" s="13" t="s">
        <v>80</v>
      </c>
      <c r="B333" s="8">
        <v>4</v>
      </c>
      <c r="C333" s="21">
        <v>2500</v>
      </c>
      <c r="D333" s="23">
        <v>2530</v>
      </c>
    </row>
    <row r="334" spans="1:4" x14ac:dyDescent="0.25">
      <c r="A334" s="13" t="s">
        <v>80</v>
      </c>
      <c r="B334" s="8">
        <v>10</v>
      </c>
      <c r="C334" s="21">
        <v>6000</v>
      </c>
      <c r="D334" s="23">
        <v>5980</v>
      </c>
    </row>
    <row r="335" spans="1:4" x14ac:dyDescent="0.25">
      <c r="A335" s="13" t="s">
        <v>80</v>
      </c>
      <c r="B335" s="8">
        <v>20</v>
      </c>
      <c r="C335" s="21">
        <v>11500</v>
      </c>
      <c r="D335" s="23">
        <v>11615</v>
      </c>
    </row>
    <row r="336" spans="1:4" x14ac:dyDescent="0.25">
      <c r="A336" s="13"/>
      <c r="B336" s="8"/>
      <c r="C336" s="21"/>
      <c r="D336" s="23"/>
    </row>
    <row r="337" spans="1:4" x14ac:dyDescent="0.25">
      <c r="A337" s="13" t="s">
        <v>81</v>
      </c>
      <c r="B337" s="8">
        <v>1</v>
      </c>
      <c r="C337" s="21">
        <v>900</v>
      </c>
      <c r="D337" s="23"/>
    </row>
    <row r="338" spans="1:4" x14ac:dyDescent="0.25">
      <c r="A338" s="13" t="s">
        <v>81</v>
      </c>
      <c r="B338" s="8">
        <v>4</v>
      </c>
      <c r="C338" s="21">
        <v>3400</v>
      </c>
      <c r="D338" s="23">
        <v>4083</v>
      </c>
    </row>
    <row r="339" spans="1:4" x14ac:dyDescent="0.25">
      <c r="A339" s="13" t="s">
        <v>81</v>
      </c>
      <c r="B339" s="8">
        <v>10</v>
      </c>
      <c r="C339" s="21">
        <v>8000</v>
      </c>
      <c r="D339" s="23">
        <v>10063</v>
      </c>
    </row>
    <row r="340" spans="1:4" x14ac:dyDescent="0.25">
      <c r="A340" s="13" t="s">
        <v>81</v>
      </c>
      <c r="B340" s="8">
        <v>20</v>
      </c>
      <c r="C340" s="21">
        <v>15500</v>
      </c>
      <c r="D340" s="23">
        <v>19895</v>
      </c>
    </row>
    <row r="341" spans="1:4" x14ac:dyDescent="0.25">
      <c r="A341" s="13"/>
      <c r="B341" s="8"/>
      <c r="C341" s="21"/>
      <c r="D341" s="23"/>
    </row>
    <row r="342" spans="1:4" x14ac:dyDescent="0.25">
      <c r="A342" s="13" t="s">
        <v>82</v>
      </c>
      <c r="B342" s="8">
        <v>4</v>
      </c>
      <c r="C342" s="21">
        <v>4000</v>
      </c>
      <c r="D342" s="23">
        <v>4896</v>
      </c>
    </row>
    <row r="343" spans="1:4" x14ac:dyDescent="0.25">
      <c r="A343" s="13" t="s">
        <v>82</v>
      </c>
      <c r="B343" s="8">
        <v>20</v>
      </c>
      <c r="C343" s="21">
        <v>19000</v>
      </c>
      <c r="D343" s="23">
        <v>23256</v>
      </c>
    </row>
    <row r="344" spans="1:4" ht="15" customHeight="1" x14ac:dyDescent="0.25">
      <c r="A344" s="13"/>
      <c r="B344" s="8"/>
      <c r="C344" s="21"/>
      <c r="D344" s="23"/>
    </row>
    <row r="345" spans="1:4" x14ac:dyDescent="0.25">
      <c r="A345" s="13" t="s">
        <v>83</v>
      </c>
      <c r="B345" s="8">
        <v>3</v>
      </c>
      <c r="C345" s="21">
        <v>1100</v>
      </c>
      <c r="D345" s="23">
        <v>1225</v>
      </c>
    </row>
    <row r="346" spans="1:4" x14ac:dyDescent="0.25">
      <c r="A346" s="13" t="s">
        <v>83</v>
      </c>
      <c r="B346" s="8">
        <v>15</v>
      </c>
      <c r="C346" s="21">
        <v>5200</v>
      </c>
      <c r="D346" s="23">
        <v>5900</v>
      </c>
    </row>
    <row r="347" spans="1:4" x14ac:dyDescent="0.25">
      <c r="A347" s="13"/>
      <c r="B347" s="8"/>
      <c r="C347" s="5"/>
      <c r="D347" s="24"/>
    </row>
    <row r="348" spans="1:4" x14ac:dyDescent="0.25">
      <c r="A348" s="13" t="s">
        <v>85</v>
      </c>
      <c r="B348" s="8">
        <v>1</v>
      </c>
      <c r="C348" s="21">
        <v>850</v>
      </c>
      <c r="D348" s="23">
        <v>897</v>
      </c>
    </row>
    <row r="349" spans="1:4" x14ac:dyDescent="0.25">
      <c r="A349" s="13" t="s">
        <v>85</v>
      </c>
      <c r="B349" s="8">
        <v>1</v>
      </c>
      <c r="C349" s="21">
        <v>325</v>
      </c>
      <c r="D349" s="23">
        <v>897</v>
      </c>
    </row>
    <row r="350" spans="1:4" x14ac:dyDescent="0.25">
      <c r="A350" s="13" t="s">
        <v>86</v>
      </c>
      <c r="B350" s="18">
        <v>1</v>
      </c>
      <c r="C350" s="21">
        <v>250</v>
      </c>
      <c r="D350" s="23">
        <v>270</v>
      </c>
    </row>
    <row r="351" spans="1:4" x14ac:dyDescent="0.25">
      <c r="A351" s="13" t="s">
        <v>86</v>
      </c>
      <c r="B351" s="18">
        <v>5</v>
      </c>
      <c r="C351" s="21">
        <v>1050</v>
      </c>
      <c r="D351" s="23">
        <v>1199</v>
      </c>
    </row>
    <row r="352" spans="1:4" x14ac:dyDescent="0.25">
      <c r="A352" s="13" t="s">
        <v>86</v>
      </c>
      <c r="B352" s="18">
        <v>10</v>
      </c>
      <c r="C352" s="21">
        <v>1700</v>
      </c>
      <c r="D352" s="23">
        <v>1664</v>
      </c>
    </row>
    <row r="353" spans="1:4" x14ac:dyDescent="0.25">
      <c r="A353" s="13" t="s">
        <v>86</v>
      </c>
      <c r="B353" s="18">
        <v>20</v>
      </c>
      <c r="C353" s="21" t="s">
        <v>87</v>
      </c>
      <c r="D353" s="23">
        <v>3942</v>
      </c>
    </row>
    <row r="354" spans="1:4" x14ac:dyDescent="0.25">
      <c r="A354" s="13"/>
      <c r="B354" s="18"/>
      <c r="C354" s="21"/>
      <c r="D354" s="23"/>
    </row>
    <row r="355" spans="1:4" x14ac:dyDescent="0.25">
      <c r="A355" s="13" t="s">
        <v>88</v>
      </c>
      <c r="B355" s="19">
        <v>0.25</v>
      </c>
      <c r="C355" s="21">
        <v>150</v>
      </c>
      <c r="D355" s="23">
        <v>170</v>
      </c>
    </row>
    <row r="356" spans="1:4" x14ac:dyDescent="0.25">
      <c r="A356" s="13" t="s">
        <v>88</v>
      </c>
      <c r="B356" s="19">
        <v>1</v>
      </c>
      <c r="C356" s="21">
        <v>600</v>
      </c>
      <c r="D356" s="23">
        <v>650</v>
      </c>
    </row>
    <row r="357" spans="1:4" x14ac:dyDescent="0.25">
      <c r="A357" s="13" t="s">
        <v>88</v>
      </c>
      <c r="B357" s="19">
        <v>5</v>
      </c>
      <c r="C357" s="21">
        <v>2500</v>
      </c>
      <c r="D357" s="23">
        <v>3040</v>
      </c>
    </row>
    <row r="358" spans="1:4" x14ac:dyDescent="0.25">
      <c r="A358" s="13" t="s">
        <v>88</v>
      </c>
      <c r="B358" s="8">
        <v>10</v>
      </c>
      <c r="C358" s="21">
        <v>4600</v>
      </c>
      <c r="D358" s="23">
        <v>5900</v>
      </c>
    </row>
    <row r="359" spans="1:4" x14ac:dyDescent="0.25">
      <c r="A359" s="13" t="s">
        <v>88</v>
      </c>
      <c r="B359" s="8">
        <v>20</v>
      </c>
      <c r="C359" s="21">
        <v>9000</v>
      </c>
      <c r="D359" s="23">
        <v>11650</v>
      </c>
    </row>
    <row r="360" spans="1:4" x14ac:dyDescent="0.25">
      <c r="A360" s="13"/>
      <c r="B360" s="8"/>
      <c r="C360" s="21"/>
      <c r="D360" s="23"/>
    </row>
    <row r="361" spans="1:4" x14ac:dyDescent="0.25">
      <c r="A361" s="13" t="s">
        <v>89</v>
      </c>
      <c r="B361" s="8">
        <v>0.5</v>
      </c>
      <c r="C361" s="21">
        <v>300</v>
      </c>
      <c r="D361" s="23">
        <v>265</v>
      </c>
    </row>
    <row r="362" spans="1:4" x14ac:dyDescent="0.25">
      <c r="A362" s="13" t="s">
        <v>89</v>
      </c>
      <c r="B362" s="19">
        <v>1</v>
      </c>
      <c r="C362" s="21">
        <v>550</v>
      </c>
      <c r="D362" s="23">
        <v>499</v>
      </c>
    </row>
    <row r="363" spans="1:4" x14ac:dyDescent="0.25">
      <c r="A363" s="13" t="s">
        <v>89</v>
      </c>
      <c r="B363" s="19">
        <v>4</v>
      </c>
      <c r="C363" s="21">
        <v>2000</v>
      </c>
      <c r="D363" s="23">
        <v>1879</v>
      </c>
    </row>
    <row r="364" spans="1:4" x14ac:dyDescent="0.25">
      <c r="A364" s="13"/>
      <c r="B364" s="19"/>
      <c r="C364" s="21"/>
      <c r="D364" s="23"/>
    </row>
    <row r="365" spans="1:4" x14ac:dyDescent="0.25">
      <c r="A365" s="13" t="s">
        <v>90</v>
      </c>
      <c r="B365" s="19">
        <v>0.5</v>
      </c>
      <c r="C365" s="21">
        <v>400</v>
      </c>
      <c r="D365" s="23">
        <v>361</v>
      </c>
    </row>
    <row r="366" spans="1:4" x14ac:dyDescent="0.25">
      <c r="A366" s="13" t="s">
        <v>90</v>
      </c>
      <c r="B366" s="19">
        <v>1</v>
      </c>
      <c r="C366" s="21">
        <v>750</v>
      </c>
      <c r="D366" s="23">
        <v>672</v>
      </c>
    </row>
    <row r="367" spans="1:4" x14ac:dyDescent="0.25">
      <c r="A367" s="13" t="s">
        <v>90</v>
      </c>
      <c r="B367" s="19">
        <v>4</v>
      </c>
      <c r="C367" s="21">
        <v>2800</v>
      </c>
      <c r="D367" s="23">
        <v>2557</v>
      </c>
    </row>
    <row r="368" spans="1:4" x14ac:dyDescent="0.25">
      <c r="A368" s="13"/>
      <c r="B368" s="19"/>
      <c r="C368" s="21"/>
      <c r="D368" s="23"/>
    </row>
    <row r="369" spans="1:4" x14ac:dyDescent="0.25">
      <c r="A369" s="13" t="s">
        <v>91</v>
      </c>
      <c r="B369" s="19">
        <v>0.2</v>
      </c>
      <c r="C369" s="21">
        <v>250</v>
      </c>
      <c r="D369" s="23">
        <v>209</v>
      </c>
    </row>
    <row r="370" spans="1:4" x14ac:dyDescent="0.25">
      <c r="A370" s="13" t="s">
        <v>91</v>
      </c>
      <c r="B370" s="19">
        <v>0.5</v>
      </c>
      <c r="C370" s="21">
        <v>475</v>
      </c>
      <c r="D370" s="23">
        <v>463</v>
      </c>
    </row>
    <row r="371" spans="1:4" x14ac:dyDescent="0.25">
      <c r="A371" s="13" t="s">
        <v>91</v>
      </c>
      <c r="B371" s="19">
        <v>1</v>
      </c>
      <c r="C371" s="21">
        <v>900</v>
      </c>
      <c r="D371" s="23">
        <v>785</v>
      </c>
    </row>
    <row r="372" spans="1:4" x14ac:dyDescent="0.25">
      <c r="A372" s="13" t="s">
        <v>91</v>
      </c>
      <c r="B372" s="19">
        <v>4</v>
      </c>
      <c r="C372" s="21"/>
      <c r="D372" s="23">
        <v>2996</v>
      </c>
    </row>
    <row r="373" spans="1:4" x14ac:dyDescent="0.25">
      <c r="A373" s="13" t="s">
        <v>91</v>
      </c>
      <c r="B373" s="19">
        <v>20</v>
      </c>
      <c r="C373" s="21"/>
      <c r="D373" s="23">
        <v>13758</v>
      </c>
    </row>
    <row r="374" spans="1:4" x14ac:dyDescent="0.25">
      <c r="A374" s="13"/>
      <c r="B374" s="19"/>
      <c r="C374" s="21"/>
      <c r="D374" s="23"/>
    </row>
    <row r="375" spans="1:4" x14ac:dyDescent="0.25">
      <c r="A375" s="3" t="s">
        <v>92</v>
      </c>
      <c r="B375" s="19">
        <v>1.5</v>
      </c>
      <c r="C375" s="21">
        <v>1050</v>
      </c>
      <c r="D375" s="23">
        <v>1211</v>
      </c>
    </row>
    <row r="376" spans="1:4" x14ac:dyDescent="0.25">
      <c r="A376" s="3" t="s">
        <v>92</v>
      </c>
      <c r="B376" s="19">
        <v>1</v>
      </c>
      <c r="C376" s="21"/>
      <c r="D376" s="23">
        <v>1053</v>
      </c>
    </row>
    <row r="377" spans="1:4" x14ac:dyDescent="0.25">
      <c r="A377" s="13" t="s">
        <v>93</v>
      </c>
      <c r="B377" s="19">
        <v>1.5</v>
      </c>
      <c r="C377" s="21">
        <v>1150</v>
      </c>
      <c r="D377" s="23">
        <v>1289</v>
      </c>
    </row>
    <row r="378" spans="1:4" x14ac:dyDescent="0.25">
      <c r="A378" s="13" t="s">
        <v>93</v>
      </c>
      <c r="B378" s="19">
        <v>1</v>
      </c>
      <c r="C378" s="21"/>
      <c r="D378" s="23">
        <v>1121</v>
      </c>
    </row>
    <row r="379" spans="1:4" x14ac:dyDescent="0.25">
      <c r="A379" s="13" t="s">
        <v>94</v>
      </c>
      <c r="B379" s="19">
        <v>1.5</v>
      </c>
      <c r="C379" s="21">
        <v>1000</v>
      </c>
      <c r="D379" s="23">
        <v>1087</v>
      </c>
    </row>
    <row r="380" spans="1:4" x14ac:dyDescent="0.25">
      <c r="A380" s="13" t="s">
        <v>94</v>
      </c>
      <c r="B380" s="19">
        <v>1</v>
      </c>
      <c r="C380" s="21"/>
      <c r="D380" s="23">
        <v>945</v>
      </c>
    </row>
    <row r="381" spans="1:4" x14ac:dyDescent="0.25">
      <c r="A381" s="13"/>
      <c r="B381" s="19"/>
      <c r="C381" s="21"/>
      <c r="D381" s="23"/>
    </row>
    <row r="382" spans="1:4" x14ac:dyDescent="0.25">
      <c r="A382" s="13" t="s">
        <v>95</v>
      </c>
      <c r="B382" s="19">
        <v>0.2</v>
      </c>
      <c r="C382" s="21">
        <v>350</v>
      </c>
      <c r="D382" s="23">
        <v>310</v>
      </c>
    </row>
    <row r="383" spans="1:4" x14ac:dyDescent="0.25">
      <c r="A383" s="13" t="s">
        <v>95</v>
      </c>
      <c r="B383" s="19">
        <v>1</v>
      </c>
      <c r="C383" s="21">
        <v>1425</v>
      </c>
      <c r="D383" s="23">
        <v>1320</v>
      </c>
    </row>
    <row r="384" spans="1:4" x14ac:dyDescent="0.25">
      <c r="A384" s="13" t="s">
        <v>96</v>
      </c>
      <c r="B384" s="19">
        <v>0.2</v>
      </c>
      <c r="C384" s="21">
        <v>600</v>
      </c>
      <c r="D384" s="23">
        <v>532</v>
      </c>
    </row>
    <row r="385" spans="1:4" x14ac:dyDescent="0.25">
      <c r="A385" s="13" t="s">
        <v>96</v>
      </c>
      <c r="B385" s="19">
        <v>1</v>
      </c>
      <c r="C385" s="21">
        <v>2670</v>
      </c>
      <c r="D385" s="23">
        <v>2822</v>
      </c>
    </row>
    <row r="386" spans="1:4" x14ac:dyDescent="0.25">
      <c r="A386" s="13" t="s">
        <v>97</v>
      </c>
      <c r="B386" s="19">
        <v>0.2</v>
      </c>
      <c r="C386" s="21">
        <v>600</v>
      </c>
      <c r="D386" s="23">
        <v>532</v>
      </c>
    </row>
    <row r="387" spans="1:4" x14ac:dyDescent="0.25">
      <c r="A387" s="13" t="s">
        <v>97</v>
      </c>
      <c r="B387" s="19">
        <v>1</v>
      </c>
      <c r="C387" s="21">
        <v>2670</v>
      </c>
      <c r="D387" s="23">
        <v>2352</v>
      </c>
    </row>
    <row r="388" spans="1:4" x14ac:dyDescent="0.25">
      <c r="A388" s="13" t="s">
        <v>98</v>
      </c>
      <c r="B388" s="19">
        <v>0.2</v>
      </c>
      <c r="C388" s="21">
        <v>600</v>
      </c>
      <c r="D388" s="23">
        <v>638</v>
      </c>
    </row>
    <row r="389" spans="1:4" x14ac:dyDescent="0.25">
      <c r="A389" s="13" t="s">
        <v>98</v>
      </c>
      <c r="B389" s="19">
        <v>1</v>
      </c>
      <c r="C389" s="21">
        <v>2670</v>
      </c>
      <c r="D389" s="23">
        <v>2822</v>
      </c>
    </row>
    <row r="390" spans="1:4" x14ac:dyDescent="0.25">
      <c r="A390" s="13"/>
      <c r="B390" s="14"/>
      <c r="C390" s="21"/>
      <c r="D390" s="23"/>
    </row>
    <row r="391" spans="1:4" x14ac:dyDescent="0.25">
      <c r="A391" s="13" t="s">
        <v>99</v>
      </c>
      <c r="B391" s="19">
        <v>0.2</v>
      </c>
      <c r="C391" s="21">
        <v>725</v>
      </c>
      <c r="D391" s="23">
        <v>542</v>
      </c>
    </row>
    <row r="392" spans="1:4" x14ac:dyDescent="0.25">
      <c r="A392" s="13" t="s">
        <v>99</v>
      </c>
      <c r="B392" s="19">
        <v>1</v>
      </c>
      <c r="C392" s="21">
        <v>2850</v>
      </c>
      <c r="D392" s="23">
        <v>2237</v>
      </c>
    </row>
    <row r="393" spans="1:4" x14ac:dyDescent="0.25">
      <c r="A393" s="13" t="s">
        <v>100</v>
      </c>
      <c r="B393" s="19">
        <v>0.2</v>
      </c>
      <c r="C393" s="21">
        <v>650</v>
      </c>
      <c r="D393" s="23">
        <v>471</v>
      </c>
    </row>
    <row r="394" spans="1:4" x14ac:dyDescent="0.25">
      <c r="A394" s="13" t="s">
        <v>100</v>
      </c>
      <c r="B394" s="19">
        <v>1</v>
      </c>
      <c r="C394" s="21">
        <v>2400</v>
      </c>
      <c r="D394" s="23">
        <v>1766</v>
      </c>
    </row>
    <row r="395" spans="1:4" x14ac:dyDescent="0.25">
      <c r="A395" s="13"/>
      <c r="B395" s="19"/>
      <c r="C395" s="21"/>
      <c r="D395" s="23"/>
    </row>
    <row r="396" spans="1:4" x14ac:dyDescent="0.25">
      <c r="A396" s="13" t="s">
        <v>101</v>
      </c>
      <c r="B396" s="19">
        <v>1</v>
      </c>
      <c r="C396" s="21">
        <v>2150</v>
      </c>
      <c r="D396" s="23"/>
    </row>
    <row r="397" spans="1:4" x14ac:dyDescent="0.25">
      <c r="A397" s="13" t="s">
        <v>102</v>
      </c>
      <c r="B397" s="19">
        <v>0.2</v>
      </c>
      <c r="C397" s="21">
        <v>500</v>
      </c>
      <c r="D397" s="23"/>
    </row>
    <row r="398" spans="1:4" x14ac:dyDescent="0.25">
      <c r="A398" s="13" t="s">
        <v>103</v>
      </c>
      <c r="B398" s="19">
        <v>1</v>
      </c>
      <c r="C398" s="21">
        <v>2200</v>
      </c>
      <c r="D398" s="23"/>
    </row>
    <row r="399" spans="1:4" x14ac:dyDescent="0.25">
      <c r="A399" s="13" t="s">
        <v>104</v>
      </c>
      <c r="B399" s="19">
        <v>0.2</v>
      </c>
      <c r="C399" s="21">
        <v>450</v>
      </c>
      <c r="D399" s="23"/>
    </row>
    <row r="400" spans="1:4" x14ac:dyDescent="0.25">
      <c r="A400" s="13"/>
      <c r="B400" s="19"/>
      <c r="C400" s="21"/>
      <c r="D400" s="23"/>
    </row>
    <row r="401" spans="1:4" x14ac:dyDescent="0.25">
      <c r="A401" s="13" t="s">
        <v>105</v>
      </c>
      <c r="B401" s="19">
        <v>1</v>
      </c>
      <c r="C401" s="21">
        <v>2150</v>
      </c>
      <c r="D401" s="23">
        <v>2342</v>
      </c>
    </row>
    <row r="402" spans="1:4" x14ac:dyDescent="0.25">
      <c r="A402" s="13" t="s">
        <v>106</v>
      </c>
      <c r="B402" s="19">
        <v>1</v>
      </c>
      <c r="C402" s="21">
        <v>2100</v>
      </c>
      <c r="D402" s="23">
        <v>2304</v>
      </c>
    </row>
    <row r="403" spans="1:4" x14ac:dyDescent="0.25">
      <c r="A403" s="13" t="s">
        <v>107</v>
      </c>
      <c r="B403" s="19">
        <v>1</v>
      </c>
      <c r="C403" s="21">
        <v>750</v>
      </c>
      <c r="D403" s="23">
        <v>825</v>
      </c>
    </row>
    <row r="404" spans="1:4" x14ac:dyDescent="0.25">
      <c r="A404" s="13" t="s">
        <v>108</v>
      </c>
      <c r="B404" s="19">
        <v>1</v>
      </c>
      <c r="C404" s="21">
        <v>285</v>
      </c>
      <c r="D404" s="23">
        <v>307</v>
      </c>
    </row>
    <row r="405" spans="1:4" x14ac:dyDescent="0.25">
      <c r="A405" s="13" t="s">
        <v>109</v>
      </c>
      <c r="B405" s="19">
        <v>1</v>
      </c>
      <c r="C405" s="21">
        <v>800</v>
      </c>
      <c r="D405" s="23">
        <v>864</v>
      </c>
    </row>
    <row r="406" spans="1:4" x14ac:dyDescent="0.25">
      <c r="A406" s="13" t="s">
        <v>110</v>
      </c>
      <c r="B406" s="19">
        <v>1</v>
      </c>
      <c r="C406" s="21">
        <v>400</v>
      </c>
      <c r="D406" s="23">
        <v>441</v>
      </c>
    </row>
    <row r="407" spans="1:4" x14ac:dyDescent="0.25">
      <c r="A407" s="13" t="s">
        <v>111</v>
      </c>
      <c r="B407" s="19">
        <v>1</v>
      </c>
      <c r="C407" s="21">
        <v>500</v>
      </c>
      <c r="D407" s="23"/>
    </row>
    <row r="408" spans="1:4" x14ac:dyDescent="0.25">
      <c r="A408" s="13" t="s">
        <v>112</v>
      </c>
      <c r="B408" s="19">
        <v>1</v>
      </c>
      <c r="C408" s="21">
        <v>650</v>
      </c>
      <c r="D408" s="23">
        <v>876</v>
      </c>
    </row>
    <row r="409" spans="1:4" x14ac:dyDescent="0.25">
      <c r="A409" s="13" t="s">
        <v>113</v>
      </c>
      <c r="B409" s="19">
        <v>1</v>
      </c>
      <c r="C409" s="21" t="s">
        <v>114</v>
      </c>
      <c r="D409" s="23">
        <v>976</v>
      </c>
    </row>
    <row r="410" spans="1:4" x14ac:dyDescent="0.25">
      <c r="A410" s="13" t="s">
        <v>115</v>
      </c>
      <c r="B410" s="19">
        <v>1</v>
      </c>
      <c r="C410" s="21">
        <v>950</v>
      </c>
      <c r="D410" s="23">
        <v>965</v>
      </c>
    </row>
    <row r="411" spans="1:4" x14ac:dyDescent="0.25">
      <c r="A411" s="13" t="s">
        <v>116</v>
      </c>
      <c r="B411" s="19">
        <v>1</v>
      </c>
      <c r="C411" s="21">
        <v>1200</v>
      </c>
      <c r="D411" s="23">
        <v>1294</v>
      </c>
    </row>
    <row r="412" spans="1:4" x14ac:dyDescent="0.25">
      <c r="A412" s="16"/>
      <c r="B412" s="19">
        <v>0</v>
      </c>
      <c r="C412" s="21"/>
      <c r="D412" s="23"/>
    </row>
    <row r="413" spans="1:4" x14ac:dyDescent="0.25">
      <c r="A413" s="13" t="s">
        <v>117</v>
      </c>
      <c r="B413" s="19">
        <v>1</v>
      </c>
      <c r="C413" s="21"/>
      <c r="D413" s="23"/>
    </row>
    <row r="414" spans="1:4" x14ac:dyDescent="0.25">
      <c r="A414" s="13" t="s">
        <v>118</v>
      </c>
      <c r="B414" s="19">
        <v>1</v>
      </c>
      <c r="C414" s="21"/>
      <c r="D414" s="23"/>
    </row>
    <row r="415" spans="1:4" x14ac:dyDescent="0.25">
      <c r="A415" s="13" t="s">
        <v>119</v>
      </c>
      <c r="B415" s="19">
        <v>1</v>
      </c>
      <c r="C415" s="21"/>
      <c r="D415" s="23"/>
    </row>
    <row r="416" spans="1:4" x14ac:dyDescent="0.25">
      <c r="A416" s="13" t="s">
        <v>120</v>
      </c>
      <c r="B416" s="19">
        <v>1</v>
      </c>
      <c r="C416" s="21"/>
      <c r="D416" s="23"/>
    </row>
    <row r="417" spans="1:4" x14ac:dyDescent="0.25">
      <c r="A417" s="13" t="s">
        <v>121</v>
      </c>
      <c r="B417" s="19">
        <v>1</v>
      </c>
      <c r="C417" s="21"/>
      <c r="D417" s="23"/>
    </row>
    <row r="418" spans="1:4" x14ac:dyDescent="0.25">
      <c r="A418" s="13" t="s">
        <v>122</v>
      </c>
      <c r="B418" s="19">
        <v>1</v>
      </c>
      <c r="C418" s="21"/>
      <c r="D418" s="23"/>
    </row>
    <row r="419" spans="1:4" x14ac:dyDescent="0.25">
      <c r="A419" s="13" t="s">
        <v>123</v>
      </c>
      <c r="B419" s="19">
        <v>1</v>
      </c>
      <c r="C419" s="21"/>
      <c r="D419" s="23"/>
    </row>
    <row r="420" spans="1:4" x14ac:dyDescent="0.25">
      <c r="A420" s="13" t="s">
        <v>124</v>
      </c>
      <c r="B420" s="19">
        <v>1</v>
      </c>
      <c r="C420" s="21"/>
      <c r="D420" s="23"/>
    </row>
    <row r="421" spans="1:4" x14ac:dyDescent="0.25">
      <c r="A421" s="13" t="s">
        <v>125</v>
      </c>
      <c r="B421" s="19">
        <v>1</v>
      </c>
      <c r="C421" s="21"/>
      <c r="D421" s="23"/>
    </row>
    <row r="422" spans="1:4" x14ac:dyDescent="0.25">
      <c r="A422" s="13" t="s">
        <v>126</v>
      </c>
      <c r="B422" s="19">
        <v>1</v>
      </c>
      <c r="C422" s="21"/>
      <c r="D422" s="23"/>
    </row>
    <row r="423" spans="1:4" x14ac:dyDescent="0.25">
      <c r="A423" s="13" t="s">
        <v>127</v>
      </c>
      <c r="B423" s="19">
        <v>1</v>
      </c>
      <c r="C423" s="21"/>
      <c r="D423" s="23"/>
    </row>
    <row r="424" spans="1:4" x14ac:dyDescent="0.25">
      <c r="A424" s="13" t="s">
        <v>128</v>
      </c>
      <c r="B424" s="19">
        <v>1</v>
      </c>
      <c r="C424" s="21"/>
      <c r="D424" s="23"/>
    </row>
    <row r="425" spans="1:4" x14ac:dyDescent="0.25">
      <c r="A425" s="13" t="s">
        <v>129</v>
      </c>
      <c r="B425" s="19">
        <v>1</v>
      </c>
      <c r="C425" s="21"/>
      <c r="D425" s="23"/>
    </row>
    <row r="426" spans="1:4" x14ac:dyDescent="0.25">
      <c r="A426" s="13" t="s">
        <v>130</v>
      </c>
      <c r="B426" s="19">
        <v>1</v>
      </c>
      <c r="C426" s="21"/>
      <c r="D426" s="23"/>
    </row>
    <row r="427" spans="1:4" x14ac:dyDescent="0.25">
      <c r="A427" s="13" t="s">
        <v>131</v>
      </c>
      <c r="B427" s="19">
        <v>1</v>
      </c>
      <c r="C427" s="21"/>
      <c r="D427" s="23"/>
    </row>
    <row r="428" spans="1:4" x14ac:dyDescent="0.25">
      <c r="A428" s="13" t="s">
        <v>132</v>
      </c>
      <c r="B428" s="19">
        <v>1</v>
      </c>
      <c r="C428" s="21"/>
      <c r="D428" s="23"/>
    </row>
    <row r="429" spans="1:4" x14ac:dyDescent="0.25">
      <c r="A429" s="13" t="s">
        <v>133</v>
      </c>
      <c r="B429" s="19">
        <v>1</v>
      </c>
      <c r="C429" s="21"/>
      <c r="D429" s="23"/>
    </row>
    <row r="430" spans="1:4" x14ac:dyDescent="0.25">
      <c r="A430" s="13" t="s">
        <v>134</v>
      </c>
      <c r="B430" s="19">
        <v>1</v>
      </c>
      <c r="C430" s="21"/>
      <c r="D430" s="23"/>
    </row>
    <row r="431" spans="1:4" x14ac:dyDescent="0.25">
      <c r="A431" s="13" t="s">
        <v>135</v>
      </c>
      <c r="B431" s="19">
        <v>1</v>
      </c>
      <c r="C431" s="21"/>
      <c r="D431" s="23"/>
    </row>
    <row r="432" spans="1:4" x14ac:dyDescent="0.25">
      <c r="A432" s="13" t="s">
        <v>136</v>
      </c>
      <c r="B432" s="19">
        <v>1</v>
      </c>
      <c r="C432" s="21"/>
      <c r="D432" s="23"/>
    </row>
    <row r="433" spans="1:4" x14ac:dyDescent="0.25">
      <c r="A433" s="13" t="s">
        <v>137</v>
      </c>
      <c r="B433" s="19">
        <v>1</v>
      </c>
      <c r="C433" s="21"/>
      <c r="D433" s="23"/>
    </row>
    <row r="434" spans="1:4" x14ac:dyDescent="0.25">
      <c r="A434" s="13" t="s">
        <v>138</v>
      </c>
      <c r="B434" s="19">
        <v>1</v>
      </c>
      <c r="C434" s="21"/>
      <c r="D434" s="23"/>
    </row>
    <row r="435" spans="1:4" x14ac:dyDescent="0.25">
      <c r="A435" s="13" t="s">
        <v>139</v>
      </c>
      <c r="B435" s="19">
        <v>1</v>
      </c>
      <c r="C435" s="21"/>
      <c r="D435" s="23"/>
    </row>
    <row r="436" spans="1:4" x14ac:dyDescent="0.25">
      <c r="A436" s="13" t="s">
        <v>140</v>
      </c>
      <c r="B436" s="19">
        <v>1</v>
      </c>
      <c r="C436" s="21"/>
      <c r="D436" s="23"/>
    </row>
    <row r="437" spans="1:4" x14ac:dyDescent="0.25">
      <c r="A437" s="13" t="s">
        <v>141</v>
      </c>
      <c r="B437" s="19">
        <v>1</v>
      </c>
      <c r="C437" s="21"/>
      <c r="D437" s="23"/>
    </row>
    <row r="438" spans="1:4" x14ac:dyDescent="0.25">
      <c r="A438" s="16"/>
      <c r="B438" s="19"/>
      <c r="C438" s="21"/>
      <c r="D438" s="23"/>
    </row>
    <row r="439" spans="1:4" x14ac:dyDescent="0.25">
      <c r="A439" s="13" t="s">
        <v>142</v>
      </c>
      <c r="B439" s="8">
        <v>0.25</v>
      </c>
      <c r="C439" s="21">
        <v>270</v>
      </c>
      <c r="D439" s="23">
        <v>300</v>
      </c>
    </row>
    <row r="440" spans="1:4" x14ac:dyDescent="0.25">
      <c r="A440" s="13" t="s">
        <v>142</v>
      </c>
      <c r="B440" s="8">
        <v>0.05</v>
      </c>
      <c r="C440" s="21">
        <v>75</v>
      </c>
      <c r="D440" s="23">
        <v>81</v>
      </c>
    </row>
    <row r="441" spans="1:4" x14ac:dyDescent="0.25">
      <c r="A441" s="16"/>
      <c r="B441" s="19"/>
      <c r="C441" s="21"/>
      <c r="D441" s="23"/>
    </row>
    <row r="442" spans="1:4" x14ac:dyDescent="0.25">
      <c r="A442" s="13" t="s">
        <v>143</v>
      </c>
      <c r="B442" s="19">
        <v>1</v>
      </c>
      <c r="C442" s="21">
        <v>700</v>
      </c>
      <c r="D442" s="23">
        <v>1257</v>
      </c>
    </row>
    <row r="443" spans="1:4" x14ac:dyDescent="0.25">
      <c r="A443" s="25" t="s">
        <v>143</v>
      </c>
      <c r="B443" s="20">
        <v>4</v>
      </c>
      <c r="C443" s="21">
        <v>3000</v>
      </c>
      <c r="D443" s="23">
        <v>4842</v>
      </c>
    </row>
    <row r="444" spans="1:4" x14ac:dyDescent="0.25">
      <c r="A444" s="13" t="s">
        <v>143</v>
      </c>
      <c r="B444" s="19">
        <v>10</v>
      </c>
      <c r="C444" s="21">
        <v>6900</v>
      </c>
      <c r="D444" s="23">
        <v>11550</v>
      </c>
    </row>
    <row r="445" spans="1:4" x14ac:dyDescent="0.25">
      <c r="A445" s="13" t="s">
        <v>143</v>
      </c>
      <c r="B445" s="19">
        <v>20</v>
      </c>
      <c r="C445" s="21">
        <v>13000</v>
      </c>
      <c r="D445" s="23">
        <v>22715</v>
      </c>
    </row>
    <row r="446" spans="1:4" x14ac:dyDescent="0.25">
      <c r="A446" s="13"/>
      <c r="B446" s="19"/>
      <c r="C446" s="21"/>
      <c r="D446" s="23"/>
    </row>
    <row r="447" spans="1:4" x14ac:dyDescent="0.25">
      <c r="A447" s="13" t="s">
        <v>144</v>
      </c>
      <c r="B447" s="19">
        <v>1</v>
      </c>
      <c r="C447" s="21"/>
      <c r="D447" s="23"/>
    </row>
    <row r="448" spans="1:4" x14ac:dyDescent="0.25">
      <c r="A448" s="13" t="s">
        <v>145</v>
      </c>
      <c r="B448" s="19">
        <v>1</v>
      </c>
      <c r="C448" s="21"/>
      <c r="D448" s="23"/>
    </row>
    <row r="449" spans="1:4" x14ac:dyDescent="0.25">
      <c r="A449" s="13" t="s">
        <v>146</v>
      </c>
      <c r="B449" s="19">
        <v>1</v>
      </c>
      <c r="C449" s="21"/>
      <c r="D449" s="23"/>
    </row>
    <row r="450" spans="1:4" x14ac:dyDescent="0.25">
      <c r="A450" s="13" t="s">
        <v>147</v>
      </c>
      <c r="B450" s="19">
        <v>1</v>
      </c>
      <c r="C450" s="21"/>
      <c r="D450" s="23"/>
    </row>
    <row r="451" spans="1:4" x14ac:dyDescent="0.25">
      <c r="A451" s="13" t="s">
        <v>148</v>
      </c>
      <c r="B451" s="19">
        <v>1</v>
      </c>
      <c r="C451" s="21"/>
      <c r="D451" s="23"/>
    </row>
    <row r="452" spans="1:4" x14ac:dyDescent="0.25">
      <c r="A452" s="13" t="s">
        <v>149</v>
      </c>
      <c r="B452" s="19">
        <v>1</v>
      </c>
      <c r="C452" s="21"/>
      <c r="D452" s="23"/>
    </row>
    <row r="453" spans="1:4" x14ac:dyDescent="0.25">
      <c r="A453" s="13" t="s">
        <v>150</v>
      </c>
      <c r="B453" s="19">
        <v>1</v>
      </c>
      <c r="C453" s="21"/>
      <c r="D453" s="23"/>
    </row>
    <row r="454" spans="1:4" x14ac:dyDescent="0.25">
      <c r="A454" s="13" t="s">
        <v>151</v>
      </c>
      <c r="B454" s="19">
        <v>1</v>
      </c>
      <c r="C454" s="21"/>
      <c r="D454" s="23"/>
    </row>
    <row r="455" spans="1:4" x14ac:dyDescent="0.25">
      <c r="A455" s="13" t="s">
        <v>152</v>
      </c>
      <c r="B455" s="19">
        <v>1</v>
      </c>
      <c r="C455" s="21"/>
      <c r="D455" s="23"/>
    </row>
    <row r="456" spans="1:4" x14ac:dyDescent="0.25">
      <c r="A456" s="13" t="s">
        <v>153</v>
      </c>
      <c r="B456" s="19">
        <v>1</v>
      </c>
      <c r="C456" s="21"/>
      <c r="D456" s="23"/>
    </row>
    <row r="457" spans="1:4" x14ac:dyDescent="0.25">
      <c r="A457" s="13" t="s">
        <v>154</v>
      </c>
      <c r="B457" s="19">
        <v>1</v>
      </c>
      <c r="C457" s="21"/>
      <c r="D457" s="23"/>
    </row>
    <row r="458" spans="1:4" x14ac:dyDescent="0.25">
      <c r="A458" s="110" t="s">
        <v>3409</v>
      </c>
      <c r="B458" s="19">
        <v>1</v>
      </c>
      <c r="C458" s="21"/>
      <c r="D458" s="23"/>
    </row>
    <row r="459" spans="1:4" x14ac:dyDescent="0.25">
      <c r="A459" s="13" t="s">
        <v>156</v>
      </c>
      <c r="B459" s="19">
        <v>1</v>
      </c>
      <c r="C459" s="21"/>
      <c r="D459" s="23"/>
    </row>
    <row r="460" spans="1:4" x14ac:dyDescent="0.25">
      <c r="A460" s="13" t="s">
        <v>157</v>
      </c>
      <c r="B460" s="19">
        <v>1</v>
      </c>
      <c r="C460" s="21"/>
      <c r="D460" s="23"/>
    </row>
    <row r="461" spans="1:4" x14ac:dyDescent="0.25">
      <c r="A461" s="13" t="s">
        <v>158</v>
      </c>
      <c r="B461" s="19">
        <v>1</v>
      </c>
      <c r="C461" s="21"/>
      <c r="D461" s="23"/>
    </row>
    <row r="462" spans="1:4" x14ac:dyDescent="0.25">
      <c r="A462" s="13" t="s">
        <v>3457</v>
      </c>
      <c r="B462" s="19">
        <v>1</v>
      </c>
      <c r="C462" s="21"/>
      <c r="D462" s="23"/>
    </row>
    <row r="463" spans="1:4" x14ac:dyDescent="0.25">
      <c r="A463" s="13"/>
      <c r="B463" s="19"/>
      <c r="C463" s="21"/>
      <c r="D463" s="23"/>
    </row>
    <row r="464" spans="1:4" x14ac:dyDescent="0.25">
      <c r="A464" s="1" t="s">
        <v>159</v>
      </c>
      <c r="B464" s="26">
        <v>1</v>
      </c>
      <c r="C464" s="5">
        <v>450</v>
      </c>
      <c r="D464" s="23"/>
    </row>
    <row r="465" spans="1:4" x14ac:dyDescent="0.25">
      <c r="A465" s="1" t="s">
        <v>159</v>
      </c>
      <c r="B465" s="26">
        <v>4</v>
      </c>
      <c r="C465" s="5">
        <v>1700</v>
      </c>
      <c r="D465" s="23"/>
    </row>
    <row r="466" spans="1:4" x14ac:dyDescent="0.25">
      <c r="A466" s="1" t="s">
        <v>159</v>
      </c>
      <c r="B466" s="26">
        <v>10</v>
      </c>
      <c r="C466" s="5">
        <v>4000</v>
      </c>
      <c r="D466" s="23"/>
    </row>
    <row r="467" spans="1:4" x14ac:dyDescent="0.25">
      <c r="A467" s="1" t="s">
        <v>159</v>
      </c>
      <c r="B467" s="26">
        <v>20</v>
      </c>
      <c r="C467" s="5">
        <v>7500</v>
      </c>
      <c r="D467" s="23"/>
    </row>
    <row r="468" spans="1:4" x14ac:dyDescent="0.25">
      <c r="A468" s="1"/>
      <c r="B468" s="26"/>
      <c r="C468" s="5"/>
      <c r="D468" s="23"/>
    </row>
    <row r="469" spans="1:4" x14ac:dyDescent="0.25">
      <c r="A469" s="1" t="s">
        <v>160</v>
      </c>
      <c r="B469" s="26">
        <v>1</v>
      </c>
      <c r="C469" s="5">
        <v>1300</v>
      </c>
      <c r="D469" s="23">
        <v>1485</v>
      </c>
    </row>
    <row r="470" spans="1:4" x14ac:dyDescent="0.25">
      <c r="A470" s="1" t="s">
        <v>160</v>
      </c>
      <c r="B470" s="26">
        <v>4</v>
      </c>
      <c r="C470" s="5">
        <v>5000</v>
      </c>
      <c r="D470" s="23">
        <v>5940</v>
      </c>
    </row>
    <row r="471" spans="1:4" x14ac:dyDescent="0.25">
      <c r="A471" s="1" t="s">
        <v>160</v>
      </c>
      <c r="B471" s="26">
        <v>10</v>
      </c>
      <c r="C471" s="5"/>
      <c r="D471" s="23"/>
    </row>
    <row r="472" spans="1:4" x14ac:dyDescent="0.25">
      <c r="A472" s="1" t="s">
        <v>160</v>
      </c>
      <c r="B472" s="26">
        <v>20</v>
      </c>
      <c r="C472" s="5"/>
      <c r="D472" s="23"/>
    </row>
    <row r="473" spans="1:4" x14ac:dyDescent="0.25">
      <c r="A473" s="1"/>
      <c r="B473" s="26"/>
      <c r="C473" s="5"/>
      <c r="D473" s="23"/>
    </row>
    <row r="474" spans="1:4" x14ac:dyDescent="0.25">
      <c r="A474" s="1" t="s">
        <v>161</v>
      </c>
      <c r="B474" s="26">
        <v>1</v>
      </c>
      <c r="C474" s="5">
        <v>1625</v>
      </c>
      <c r="D474" s="23">
        <v>1600</v>
      </c>
    </row>
    <row r="475" spans="1:4" x14ac:dyDescent="0.25">
      <c r="A475" s="1" t="s">
        <v>161</v>
      </c>
      <c r="B475" s="26">
        <v>4</v>
      </c>
      <c r="C475" s="5">
        <v>5900</v>
      </c>
      <c r="D475" s="23">
        <v>5900</v>
      </c>
    </row>
    <row r="476" spans="1:4" x14ac:dyDescent="0.25">
      <c r="A476" s="1" t="s">
        <v>161</v>
      </c>
      <c r="B476" s="26">
        <v>10</v>
      </c>
      <c r="C476" s="5"/>
      <c r="D476" s="23"/>
    </row>
    <row r="477" spans="1:4" x14ac:dyDescent="0.25">
      <c r="A477" s="1" t="s">
        <v>161</v>
      </c>
      <c r="B477" s="26">
        <v>20</v>
      </c>
      <c r="C477" s="5"/>
      <c r="D477" s="23"/>
    </row>
    <row r="478" spans="1:4" x14ac:dyDescent="0.25">
      <c r="A478" s="1"/>
      <c r="B478" s="26"/>
      <c r="C478" s="5"/>
      <c r="D478" s="23"/>
    </row>
    <row r="479" spans="1:4" x14ac:dyDescent="0.25">
      <c r="A479" s="1" t="s">
        <v>411</v>
      </c>
      <c r="B479" s="26">
        <v>1</v>
      </c>
      <c r="C479" s="5">
        <v>1625</v>
      </c>
      <c r="D479" s="23">
        <v>1600</v>
      </c>
    </row>
    <row r="480" spans="1:4" x14ac:dyDescent="0.25">
      <c r="A480" s="1" t="s">
        <v>411</v>
      </c>
      <c r="B480" s="26">
        <v>4</v>
      </c>
      <c r="C480" s="5">
        <v>5950</v>
      </c>
      <c r="D480" s="23">
        <v>5900</v>
      </c>
    </row>
    <row r="481" spans="1:4" x14ac:dyDescent="0.25">
      <c r="A481" s="1" t="s">
        <v>411</v>
      </c>
      <c r="B481" s="26">
        <v>10</v>
      </c>
      <c r="C481" s="5"/>
      <c r="D481" s="23"/>
    </row>
    <row r="482" spans="1:4" x14ac:dyDescent="0.25">
      <c r="A482" s="1" t="s">
        <v>411</v>
      </c>
      <c r="B482" s="26">
        <v>20</v>
      </c>
      <c r="C482" s="5"/>
      <c r="D482" s="23"/>
    </row>
    <row r="483" spans="1:4" x14ac:dyDescent="0.25">
      <c r="A483" s="1" t="s">
        <v>3397</v>
      </c>
      <c r="B483" s="26">
        <v>1</v>
      </c>
      <c r="C483" s="7">
        <v>600</v>
      </c>
      <c r="D483" s="34">
        <v>616</v>
      </c>
    </row>
    <row r="484" spans="1:4" x14ac:dyDescent="0.25">
      <c r="A484" s="1" t="s">
        <v>3397</v>
      </c>
      <c r="B484" s="26">
        <v>5</v>
      </c>
      <c r="C484" s="7">
        <v>2600</v>
      </c>
      <c r="D484" s="34">
        <v>2766</v>
      </c>
    </row>
    <row r="485" spans="1:4" x14ac:dyDescent="0.25">
      <c r="A485" s="1" t="s">
        <v>3397</v>
      </c>
      <c r="B485" s="26">
        <v>10</v>
      </c>
      <c r="C485" s="7">
        <v>5000</v>
      </c>
      <c r="D485" s="34">
        <v>5212</v>
      </c>
    </row>
    <row r="486" spans="1:4" x14ac:dyDescent="0.25">
      <c r="A486" s="1" t="s">
        <v>3397</v>
      </c>
      <c r="B486" s="26">
        <v>20</v>
      </c>
      <c r="C486" s="7">
        <v>9400</v>
      </c>
      <c r="D486" s="34">
        <v>10114</v>
      </c>
    </row>
    <row r="487" spans="1:4" x14ac:dyDescent="0.25">
      <c r="A487" s="1"/>
      <c r="B487" s="26"/>
      <c r="C487" s="7"/>
      <c r="D487" s="34"/>
    </row>
    <row r="488" spans="1:4" x14ac:dyDescent="0.25">
      <c r="A488" s="1" t="s">
        <v>3418</v>
      </c>
      <c r="B488" s="26">
        <v>1</v>
      </c>
      <c r="C488" s="7">
        <v>260</v>
      </c>
      <c r="D488" s="34"/>
    </row>
    <row r="489" spans="1:4" x14ac:dyDescent="0.25">
      <c r="A489" s="1" t="s">
        <v>3418</v>
      </c>
      <c r="B489" s="26">
        <v>5</v>
      </c>
      <c r="C489" s="7">
        <v>1050</v>
      </c>
      <c r="D489" s="34"/>
    </row>
    <row r="490" spans="1:4" x14ac:dyDescent="0.25">
      <c r="D490" s="12"/>
    </row>
    <row r="491" spans="1:4" x14ac:dyDescent="0.25">
      <c r="D491" s="12"/>
    </row>
  </sheetData>
  <pageMargins left="0.7" right="0.7" top="0.75" bottom="0.75" header="0.3" footer="0.3"/>
  <pageSetup scale="95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6" workbookViewId="0">
      <selection activeCell="G272" sqref="G272"/>
    </sheetView>
  </sheetViews>
  <sheetFormatPr defaultRowHeight="15" x14ac:dyDescent="0.25"/>
  <cols>
    <col min="1" max="2" width="11.28515625" customWidth="1"/>
    <col min="3" max="3" width="13.42578125" customWidth="1"/>
    <col min="4" max="4" width="13.140625" customWidth="1"/>
    <col min="5" max="5" width="15.5703125" bestFit="1" customWidth="1"/>
  </cols>
  <sheetData>
    <row r="1" spans="1:5" x14ac:dyDescent="0.25">
      <c r="A1" s="1"/>
      <c r="B1" s="1"/>
      <c r="C1" s="108" t="s">
        <v>3384</v>
      </c>
      <c r="D1" s="1"/>
      <c r="E1" s="1"/>
    </row>
    <row r="2" spans="1:5" x14ac:dyDescent="0.25">
      <c r="A2" s="1" t="s">
        <v>3379</v>
      </c>
      <c r="B2" s="1" t="s">
        <v>3383</v>
      </c>
      <c r="C2" s="1" t="s">
        <v>3380</v>
      </c>
      <c r="D2" s="1" t="s">
        <v>3381</v>
      </c>
      <c r="E2" s="1" t="s">
        <v>3382</v>
      </c>
    </row>
    <row r="3" spans="1:5" x14ac:dyDescent="0.25">
      <c r="A3" s="109">
        <v>66421</v>
      </c>
      <c r="B3" s="109" t="s">
        <v>3385</v>
      </c>
      <c r="C3" s="1">
        <v>235755</v>
      </c>
      <c r="D3" s="1"/>
      <c r="E3" s="1">
        <v>235755</v>
      </c>
    </row>
    <row r="4" spans="1:5" x14ac:dyDescent="0.25">
      <c r="A4" s="109">
        <v>66422</v>
      </c>
      <c r="B4" s="109" t="s">
        <v>3385</v>
      </c>
      <c r="C4" s="1">
        <v>253000</v>
      </c>
      <c r="D4" s="1"/>
      <c r="E4" s="1">
        <v>488755</v>
      </c>
    </row>
    <row r="5" spans="1:5" x14ac:dyDescent="0.25">
      <c r="A5" s="109">
        <v>66427</v>
      </c>
      <c r="B5" s="1" t="s">
        <v>3386</v>
      </c>
      <c r="C5" s="1"/>
      <c r="D5" s="1">
        <v>488755</v>
      </c>
      <c r="E5" s="1">
        <v>0</v>
      </c>
    </row>
    <row r="6" spans="1:5" x14ac:dyDescent="0.25">
      <c r="A6" s="109">
        <v>66427</v>
      </c>
      <c r="B6" s="1" t="s">
        <v>3385</v>
      </c>
      <c r="C6" s="1">
        <v>253000</v>
      </c>
      <c r="D6" s="1"/>
      <c r="E6" s="1">
        <v>253000</v>
      </c>
    </row>
    <row r="7" spans="1:5" x14ac:dyDescent="0.25">
      <c r="A7" s="109">
        <v>66428</v>
      </c>
      <c r="B7" s="1" t="s">
        <v>3385</v>
      </c>
      <c r="C7" s="1">
        <v>128400</v>
      </c>
      <c r="D7" s="108"/>
      <c r="E7" s="1">
        <v>381400</v>
      </c>
    </row>
    <row r="8" spans="1:5" x14ac:dyDescent="0.25">
      <c r="A8" s="109">
        <v>66428</v>
      </c>
      <c r="B8" s="1" t="s">
        <v>3385</v>
      </c>
      <c r="C8" s="1">
        <v>78450</v>
      </c>
      <c r="D8" s="1"/>
      <c r="E8" s="1">
        <v>459850</v>
      </c>
    </row>
    <row r="9" spans="1:5" x14ac:dyDescent="0.25">
      <c r="A9" s="109">
        <v>66430</v>
      </c>
      <c r="B9" s="1" t="s">
        <v>3386</v>
      </c>
      <c r="C9" s="1"/>
      <c r="D9" s="1">
        <v>539850</v>
      </c>
      <c r="E9" s="1">
        <v>-80000</v>
      </c>
    </row>
    <row r="10" spans="1:5" x14ac:dyDescent="0.25">
      <c r="A10" s="109">
        <v>66431</v>
      </c>
      <c r="B10" s="1" t="s">
        <v>3387</v>
      </c>
      <c r="C10" s="1">
        <v>80000</v>
      </c>
      <c r="D10" s="1"/>
      <c r="E10" s="1">
        <v>0</v>
      </c>
    </row>
    <row r="11" spans="1:5" x14ac:dyDescent="0.25">
      <c r="A11" s="109">
        <v>66433</v>
      </c>
      <c r="B11" s="1" t="s">
        <v>3385</v>
      </c>
      <c r="C11" s="1">
        <v>38800</v>
      </c>
      <c r="D11" s="1"/>
      <c r="E11" s="1">
        <v>38800</v>
      </c>
    </row>
    <row r="12" spans="1:5" x14ac:dyDescent="0.25">
      <c r="A12" s="109">
        <v>66433</v>
      </c>
      <c r="B12" s="1" t="s">
        <v>3385</v>
      </c>
      <c r="C12" s="1">
        <v>372305</v>
      </c>
      <c r="D12" s="1"/>
      <c r="E12" s="1">
        <v>411105</v>
      </c>
    </row>
    <row r="13" spans="1:5" x14ac:dyDescent="0.25">
      <c r="A13" s="109">
        <v>66438</v>
      </c>
      <c r="B13" s="1" t="s">
        <v>3386</v>
      </c>
      <c r="C13" s="1"/>
      <c r="D13" s="1">
        <v>411000</v>
      </c>
      <c r="E13" s="1">
        <v>105</v>
      </c>
    </row>
    <row r="14" spans="1:5" x14ac:dyDescent="0.25">
      <c r="A14" s="109">
        <v>66438</v>
      </c>
      <c r="B14" s="1" t="s">
        <v>3388</v>
      </c>
      <c r="C14" s="1"/>
      <c r="D14" s="1">
        <v>105</v>
      </c>
      <c r="E14" s="1">
        <v>0</v>
      </c>
    </row>
    <row r="15" spans="1:5" x14ac:dyDescent="0.25">
      <c r="A15" s="109">
        <v>66438</v>
      </c>
      <c r="B15" s="1" t="s">
        <v>3385</v>
      </c>
      <c r="C15" s="1">
        <v>126500</v>
      </c>
      <c r="D15" s="1"/>
      <c r="E15" s="1">
        <v>126500</v>
      </c>
    </row>
    <row r="16" spans="1:5" x14ac:dyDescent="0.25">
      <c r="A16" s="109">
        <v>66440</v>
      </c>
      <c r="B16" s="1" t="s">
        <v>3385</v>
      </c>
      <c r="C16" s="1">
        <v>253000</v>
      </c>
      <c r="D16" s="1"/>
      <c r="E16" s="1">
        <v>379500</v>
      </c>
    </row>
    <row r="17" spans="1:5" x14ac:dyDescent="0.25">
      <c r="A17" s="109">
        <v>66442</v>
      </c>
      <c r="B17" s="1" t="s">
        <v>3385</v>
      </c>
      <c r="C17" s="1">
        <v>252605</v>
      </c>
      <c r="D17" s="1"/>
      <c r="E17" s="1">
        <v>632105</v>
      </c>
    </row>
    <row r="18" spans="1:5" x14ac:dyDescent="0.25">
      <c r="A18" s="109">
        <v>66443</v>
      </c>
      <c r="B18" s="1" t="s">
        <v>3385</v>
      </c>
      <c r="C18" s="1">
        <v>415750</v>
      </c>
      <c r="D18" s="1"/>
      <c r="E18" s="1">
        <v>1047855</v>
      </c>
    </row>
    <row r="19" spans="1:5" x14ac:dyDescent="0.25">
      <c r="A19" s="109">
        <v>66443</v>
      </c>
      <c r="B19" s="1" t="s">
        <v>3389</v>
      </c>
      <c r="C19" s="1">
        <v>179637</v>
      </c>
      <c r="D19" s="1"/>
      <c r="E19" s="1">
        <v>1227492</v>
      </c>
    </row>
    <row r="20" spans="1:5" x14ac:dyDescent="0.25">
      <c r="A20" s="109">
        <v>66446</v>
      </c>
      <c r="B20" s="1" t="s">
        <v>3385</v>
      </c>
      <c r="C20" s="1">
        <v>38700</v>
      </c>
      <c r="D20" s="1"/>
      <c r="E20" s="1">
        <v>1266192</v>
      </c>
    </row>
    <row r="21" spans="1:5" x14ac:dyDescent="0.25">
      <c r="A21" s="109">
        <v>66447</v>
      </c>
      <c r="B21" s="1" t="s">
        <v>3386</v>
      </c>
      <c r="C21" s="1"/>
      <c r="D21" s="1">
        <v>404760</v>
      </c>
      <c r="E21" s="1">
        <v>861432</v>
      </c>
    </row>
    <row r="22" spans="1:5" x14ac:dyDescent="0.25">
      <c r="A22" s="109">
        <v>66449</v>
      </c>
      <c r="B22" s="1" t="s">
        <v>3390</v>
      </c>
      <c r="C22" s="1">
        <v>404760</v>
      </c>
      <c r="D22" s="1"/>
      <c r="E22" s="1">
        <v>1266192</v>
      </c>
    </row>
    <row r="23" spans="1:5" x14ac:dyDescent="0.25">
      <c r="A23" s="109">
        <v>66449</v>
      </c>
      <c r="B23" s="1" t="s">
        <v>3389</v>
      </c>
      <c r="C23" s="1">
        <v>11500</v>
      </c>
      <c r="D23" s="1"/>
      <c r="E23" s="1">
        <v>1277692</v>
      </c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Y1:Z14"/>
  <sheetViews>
    <sheetView topLeftCell="Y1" workbookViewId="0">
      <selection activeCell="G272" sqref="G272"/>
    </sheetView>
  </sheetViews>
  <sheetFormatPr defaultRowHeight="15" x14ac:dyDescent="0.25"/>
  <cols>
    <col min="25" max="25" width="21" bestFit="1" customWidth="1"/>
    <col min="26" max="26" width="29.7109375" bestFit="1" customWidth="1"/>
  </cols>
  <sheetData>
    <row r="1" spans="25:26" x14ac:dyDescent="0.25">
      <c r="Y1" t="s">
        <v>3431</v>
      </c>
      <c r="Z1">
        <v>9849655774</v>
      </c>
    </row>
    <row r="2" spans="25:26" x14ac:dyDescent="0.25">
      <c r="Y2" t="s">
        <v>3432</v>
      </c>
      <c r="Z2" t="s">
        <v>3443</v>
      </c>
    </row>
    <row r="3" spans="25:26" x14ac:dyDescent="0.25">
      <c r="Y3" t="s">
        <v>3433</v>
      </c>
      <c r="Z3" t="s">
        <v>3453</v>
      </c>
    </row>
    <row r="4" spans="25:26" x14ac:dyDescent="0.25">
      <c r="Y4" t="s">
        <v>234</v>
      </c>
      <c r="Z4" t="s">
        <v>3452</v>
      </c>
    </row>
    <row r="5" spans="25:26" x14ac:dyDescent="0.25">
      <c r="Y5" t="s">
        <v>3434</v>
      </c>
      <c r="Z5" t="s">
        <v>3447</v>
      </c>
    </row>
    <row r="6" spans="25:26" x14ac:dyDescent="0.25">
      <c r="Y6" t="s">
        <v>3435</v>
      </c>
      <c r="Z6" t="s">
        <v>3451</v>
      </c>
    </row>
    <row r="7" spans="25:26" x14ac:dyDescent="0.25">
      <c r="Y7" t="s">
        <v>3436</v>
      </c>
      <c r="Z7" t="s">
        <v>3454</v>
      </c>
    </row>
    <row r="8" spans="25:26" x14ac:dyDescent="0.25">
      <c r="Y8" t="s">
        <v>3437</v>
      </c>
      <c r="Z8" t="s">
        <v>3446</v>
      </c>
    </row>
    <row r="9" spans="25:26" x14ac:dyDescent="0.25">
      <c r="Y9" t="s">
        <v>3438</v>
      </c>
      <c r="Z9" t="s">
        <v>3445</v>
      </c>
    </row>
    <row r="10" spans="25:26" x14ac:dyDescent="0.25">
      <c r="Y10" t="s">
        <v>3439</v>
      </c>
      <c r="Z10" t="s">
        <v>3448</v>
      </c>
    </row>
    <row r="11" spans="25:26" x14ac:dyDescent="0.25">
      <c r="Y11" t="s">
        <v>3440</v>
      </c>
      <c r="Z11" t="s">
        <v>3449</v>
      </c>
    </row>
    <row r="12" spans="25:26" x14ac:dyDescent="0.25">
      <c r="Y12" t="s">
        <v>3441</v>
      </c>
      <c r="Z12" t="s">
        <v>3444</v>
      </c>
    </row>
    <row r="13" spans="25:26" x14ac:dyDescent="0.25">
      <c r="Y13" t="s">
        <v>3442</v>
      </c>
      <c r="Z13" t="s">
        <v>3448</v>
      </c>
    </row>
    <row r="14" spans="25:26" x14ac:dyDescent="0.25">
      <c r="Y14" t="s">
        <v>3450</v>
      </c>
      <c r="Z1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20" zoomScaleNormal="20" workbookViewId="0">
      <selection activeCell="G272" sqref="G27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2"/>
  <sheetViews>
    <sheetView workbookViewId="0">
      <selection activeCell="G272" sqref="G272"/>
    </sheetView>
  </sheetViews>
  <sheetFormatPr defaultRowHeight="15" x14ac:dyDescent="0.25"/>
  <cols>
    <col min="1" max="1" width="31.5703125" customWidth="1"/>
    <col min="2" max="2" width="5.5703125" style="10" customWidth="1"/>
    <col min="3" max="3" width="7" style="11" bestFit="1" customWidth="1"/>
    <col min="4" max="4" width="28.7109375" customWidth="1"/>
    <col min="5" max="5" width="5.85546875" customWidth="1"/>
    <col min="6" max="6" width="7.7109375" customWidth="1"/>
  </cols>
  <sheetData>
    <row r="1" spans="1:6" x14ac:dyDescent="0.25">
      <c r="A1" s="4" t="s">
        <v>64</v>
      </c>
      <c r="B1" s="6" t="s">
        <v>0</v>
      </c>
      <c r="C1" s="21" t="s">
        <v>1</v>
      </c>
      <c r="D1" s="13" t="s">
        <v>51</v>
      </c>
      <c r="E1" s="19">
        <v>1</v>
      </c>
      <c r="F1" s="21">
        <v>350</v>
      </c>
    </row>
    <row r="2" spans="1:6" x14ac:dyDescent="0.25">
      <c r="A2" s="13" t="s">
        <v>3</v>
      </c>
      <c r="B2" s="19">
        <v>1</v>
      </c>
      <c r="C2" s="21">
        <v>450</v>
      </c>
      <c r="D2" s="13" t="s">
        <v>51</v>
      </c>
      <c r="E2" s="19">
        <v>4</v>
      </c>
      <c r="F2" s="21">
        <v>1200</v>
      </c>
    </row>
    <row r="3" spans="1:6" x14ac:dyDescent="0.25">
      <c r="A3" s="13" t="s">
        <v>3</v>
      </c>
      <c r="B3" s="19">
        <v>4</v>
      </c>
      <c r="C3" s="21">
        <v>1600</v>
      </c>
      <c r="D3" s="13" t="s">
        <v>51</v>
      </c>
      <c r="E3" s="19">
        <v>10</v>
      </c>
      <c r="F3" s="21">
        <v>2900</v>
      </c>
    </row>
    <row r="4" spans="1:6" x14ac:dyDescent="0.25">
      <c r="A4" s="13" t="s">
        <v>3</v>
      </c>
      <c r="B4" s="19">
        <v>10</v>
      </c>
      <c r="C4" s="21">
        <v>3400</v>
      </c>
      <c r="D4" s="13" t="s">
        <v>51</v>
      </c>
      <c r="E4" s="19">
        <v>20</v>
      </c>
      <c r="F4" s="21">
        <v>5500</v>
      </c>
    </row>
    <row r="5" spans="1:6" x14ac:dyDescent="0.25">
      <c r="A5" s="13" t="s">
        <v>3</v>
      </c>
      <c r="B5" s="19">
        <v>20</v>
      </c>
      <c r="C5" s="21">
        <v>6600</v>
      </c>
      <c r="D5" s="13"/>
      <c r="E5" s="19"/>
      <c r="F5" s="21"/>
    </row>
    <row r="6" spans="1:6" x14ac:dyDescent="0.25">
      <c r="A6" s="13"/>
      <c r="B6" s="19"/>
      <c r="C6" s="21"/>
      <c r="D6" s="13" t="s">
        <v>52</v>
      </c>
      <c r="E6" s="19">
        <v>1</v>
      </c>
      <c r="F6" s="21">
        <v>300</v>
      </c>
    </row>
    <row r="7" spans="1:6" x14ac:dyDescent="0.25">
      <c r="A7" s="13" t="s">
        <v>5</v>
      </c>
      <c r="B7" s="19">
        <v>1</v>
      </c>
      <c r="C7" s="21">
        <v>700</v>
      </c>
      <c r="D7" s="13" t="s">
        <v>52</v>
      </c>
      <c r="E7" s="19">
        <v>4</v>
      </c>
      <c r="F7" s="21">
        <v>1000</v>
      </c>
    </row>
    <row r="8" spans="1:6" x14ac:dyDescent="0.25">
      <c r="A8" s="13" t="s">
        <v>5</v>
      </c>
      <c r="B8" s="19">
        <v>4</v>
      </c>
      <c r="C8" s="21">
        <v>2700</v>
      </c>
      <c r="D8" s="13" t="s">
        <v>52</v>
      </c>
      <c r="E8" s="19">
        <v>10</v>
      </c>
      <c r="F8" s="21">
        <v>2050</v>
      </c>
    </row>
    <row r="9" spans="1:6" x14ac:dyDescent="0.25">
      <c r="A9" s="13" t="s">
        <v>5</v>
      </c>
      <c r="B9" s="19">
        <v>10</v>
      </c>
      <c r="C9" s="21">
        <v>6250</v>
      </c>
      <c r="D9" s="13" t="s">
        <v>52</v>
      </c>
      <c r="E9" s="19">
        <v>20</v>
      </c>
      <c r="F9" s="21">
        <v>3800</v>
      </c>
    </row>
    <row r="10" spans="1:6" x14ac:dyDescent="0.25">
      <c r="A10" s="13" t="s">
        <v>5</v>
      </c>
      <c r="B10" s="19">
        <v>20</v>
      </c>
      <c r="C10" s="21">
        <v>12000</v>
      </c>
      <c r="D10" s="13"/>
      <c r="E10" s="19"/>
      <c r="F10" s="21"/>
    </row>
    <row r="11" spans="1:6" x14ac:dyDescent="0.25">
      <c r="A11" s="13"/>
      <c r="B11" s="19"/>
      <c r="C11" s="21"/>
      <c r="D11" s="16"/>
      <c r="E11" s="15"/>
      <c r="F11" s="21"/>
    </row>
    <row r="12" spans="1:6" x14ac:dyDescent="0.25">
      <c r="A12" s="13" t="s">
        <v>7</v>
      </c>
      <c r="B12" s="19">
        <v>1</v>
      </c>
      <c r="C12" s="21">
        <v>850</v>
      </c>
      <c r="D12" s="13" t="s">
        <v>56</v>
      </c>
      <c r="E12" s="19">
        <v>0.5</v>
      </c>
      <c r="F12" s="21">
        <v>285</v>
      </c>
    </row>
    <row r="13" spans="1:6" x14ac:dyDescent="0.25">
      <c r="A13" s="13" t="s">
        <v>7</v>
      </c>
      <c r="B13" s="19">
        <v>4</v>
      </c>
      <c r="C13" s="21">
        <v>3200</v>
      </c>
      <c r="D13" s="13" t="s">
        <v>56</v>
      </c>
      <c r="E13" s="19">
        <v>1</v>
      </c>
      <c r="F13" s="21">
        <v>525</v>
      </c>
    </row>
    <row r="14" spans="1:6" x14ac:dyDescent="0.25">
      <c r="A14" s="13" t="s">
        <v>7</v>
      </c>
      <c r="B14" s="19">
        <v>10</v>
      </c>
      <c r="C14" s="21">
        <v>7500</v>
      </c>
      <c r="D14" s="13" t="s">
        <v>56</v>
      </c>
      <c r="E14" s="19">
        <v>4</v>
      </c>
      <c r="F14" s="21">
        <v>1900</v>
      </c>
    </row>
    <row r="15" spans="1:6" x14ac:dyDescent="0.25">
      <c r="A15" s="13" t="s">
        <v>7</v>
      </c>
      <c r="B15" s="19">
        <v>20</v>
      </c>
      <c r="C15" s="21">
        <v>14500</v>
      </c>
      <c r="D15" s="13"/>
      <c r="E15" s="19"/>
      <c r="F15" s="21"/>
    </row>
    <row r="16" spans="1:6" x14ac:dyDescent="0.25">
      <c r="A16" s="13"/>
      <c r="B16" s="19"/>
      <c r="C16" s="21"/>
      <c r="D16" s="13" t="s">
        <v>57</v>
      </c>
      <c r="E16" s="19">
        <v>0.5</v>
      </c>
      <c r="F16" s="21">
        <v>250</v>
      </c>
    </row>
    <row r="17" spans="1:6" x14ac:dyDescent="0.25">
      <c r="A17" s="13" t="s">
        <v>9</v>
      </c>
      <c r="B17" s="19">
        <v>1</v>
      </c>
      <c r="C17" s="21"/>
      <c r="D17" s="13" t="s">
        <v>57</v>
      </c>
      <c r="E17" s="19">
        <v>1</v>
      </c>
      <c r="F17" s="21">
        <v>450</v>
      </c>
    </row>
    <row r="18" spans="1:6" x14ac:dyDescent="0.25">
      <c r="A18" s="13" t="s">
        <v>9</v>
      </c>
      <c r="B18" s="19">
        <v>4</v>
      </c>
      <c r="C18" s="21"/>
      <c r="D18" s="13" t="s">
        <v>57</v>
      </c>
      <c r="E18" s="19">
        <v>4</v>
      </c>
      <c r="F18" s="21">
        <v>1650</v>
      </c>
    </row>
    <row r="19" spans="1:6" x14ac:dyDescent="0.25">
      <c r="A19" s="13" t="s">
        <v>9</v>
      </c>
      <c r="B19" s="19">
        <v>10</v>
      </c>
      <c r="C19" s="21"/>
      <c r="D19" s="13" t="s">
        <v>57</v>
      </c>
      <c r="E19" s="19">
        <v>20</v>
      </c>
      <c r="F19" s="21">
        <v>7500</v>
      </c>
    </row>
    <row r="20" spans="1:6" x14ac:dyDescent="0.25">
      <c r="A20" s="13" t="s">
        <v>9</v>
      </c>
      <c r="B20" s="19">
        <v>20</v>
      </c>
      <c r="C20" s="21"/>
      <c r="D20" s="13"/>
      <c r="E20" s="19"/>
      <c r="F20" s="21"/>
    </row>
    <row r="21" spans="1:6" x14ac:dyDescent="0.25">
      <c r="A21" s="13"/>
      <c r="B21" s="19"/>
      <c r="C21" s="21"/>
      <c r="D21" s="13" t="s">
        <v>60</v>
      </c>
      <c r="E21" s="19">
        <v>0.5</v>
      </c>
      <c r="F21" s="21">
        <v>400</v>
      </c>
    </row>
    <row r="22" spans="1:6" x14ac:dyDescent="0.25">
      <c r="A22" s="13" t="s">
        <v>14</v>
      </c>
      <c r="B22" s="19">
        <v>1</v>
      </c>
      <c r="C22" s="21">
        <v>1200</v>
      </c>
      <c r="D22" s="13" t="s">
        <v>60</v>
      </c>
      <c r="E22" s="19">
        <v>1</v>
      </c>
      <c r="F22" s="21">
        <v>750</v>
      </c>
    </row>
    <row r="23" spans="1:6" x14ac:dyDescent="0.25">
      <c r="A23" s="13" t="s">
        <v>14</v>
      </c>
      <c r="B23" s="19">
        <v>4</v>
      </c>
      <c r="C23" s="21">
        <v>4700</v>
      </c>
      <c r="D23" s="13" t="s">
        <v>60</v>
      </c>
      <c r="E23" s="19">
        <v>4</v>
      </c>
      <c r="F23" s="21">
        <v>2900</v>
      </c>
    </row>
    <row r="24" spans="1:6" x14ac:dyDescent="0.25">
      <c r="A24" s="13" t="s">
        <v>14</v>
      </c>
      <c r="B24" s="19">
        <v>10</v>
      </c>
      <c r="C24" s="21">
        <v>11000</v>
      </c>
      <c r="D24" s="13"/>
      <c r="E24" s="19"/>
      <c r="F24" s="21"/>
    </row>
    <row r="25" spans="1:6" x14ac:dyDescent="0.25">
      <c r="A25" s="13" t="s">
        <v>14</v>
      </c>
      <c r="B25" s="19">
        <v>20</v>
      </c>
      <c r="C25" s="21">
        <v>21500</v>
      </c>
      <c r="D25" s="13" t="s">
        <v>3392</v>
      </c>
      <c r="E25" s="19">
        <v>0.5</v>
      </c>
      <c r="F25" s="21">
        <v>375</v>
      </c>
    </row>
    <row r="26" spans="1:6" x14ac:dyDescent="0.25">
      <c r="A26" s="13"/>
      <c r="B26" s="19"/>
      <c r="C26" s="21"/>
      <c r="D26" s="13" t="s">
        <v>61</v>
      </c>
      <c r="E26" s="19">
        <v>1</v>
      </c>
      <c r="F26" s="21">
        <v>675</v>
      </c>
    </row>
    <row r="27" spans="1:6" x14ac:dyDescent="0.25">
      <c r="A27" s="13" t="s">
        <v>17</v>
      </c>
      <c r="B27" s="19">
        <v>1</v>
      </c>
      <c r="C27" s="21">
        <v>1100</v>
      </c>
      <c r="D27" s="13"/>
      <c r="E27" s="19"/>
      <c r="F27" s="21"/>
    </row>
    <row r="28" spans="1:6" x14ac:dyDescent="0.25">
      <c r="A28" s="13" t="s">
        <v>17</v>
      </c>
      <c r="B28" s="19">
        <v>4</v>
      </c>
      <c r="C28" s="21">
        <v>4500</v>
      </c>
      <c r="D28" s="13" t="s">
        <v>3393</v>
      </c>
      <c r="E28" s="19">
        <v>0.5</v>
      </c>
      <c r="F28" s="21">
        <v>400</v>
      </c>
    </row>
    <row r="29" spans="1:6" x14ac:dyDescent="0.25">
      <c r="A29" s="13" t="s">
        <v>17</v>
      </c>
      <c r="B29" s="26">
        <v>10</v>
      </c>
      <c r="C29" s="21">
        <v>10500</v>
      </c>
      <c r="D29" s="13" t="s">
        <v>62</v>
      </c>
      <c r="E29" s="19">
        <v>1</v>
      </c>
      <c r="F29" s="21">
        <v>750</v>
      </c>
    </row>
    <row r="30" spans="1:6" x14ac:dyDescent="0.25">
      <c r="A30" s="13" t="s">
        <v>17</v>
      </c>
      <c r="B30" s="19">
        <v>20</v>
      </c>
      <c r="C30" s="21">
        <v>20700</v>
      </c>
      <c r="D30" s="13"/>
      <c r="E30" s="19"/>
      <c r="F30" s="21"/>
    </row>
    <row r="31" spans="1:6" x14ac:dyDescent="0.25">
      <c r="A31" s="13"/>
      <c r="B31" s="19"/>
      <c r="C31" s="21"/>
      <c r="D31" s="13" t="s">
        <v>63</v>
      </c>
      <c r="E31" s="19">
        <v>1</v>
      </c>
      <c r="F31" s="21">
        <v>700</v>
      </c>
    </row>
    <row r="32" spans="1:6" x14ac:dyDescent="0.25">
      <c r="A32" s="13" t="s">
        <v>18</v>
      </c>
      <c r="B32" s="19">
        <v>1</v>
      </c>
      <c r="C32" s="21">
        <v>1300</v>
      </c>
      <c r="D32" s="13" t="s">
        <v>63</v>
      </c>
      <c r="E32" s="19">
        <v>4</v>
      </c>
      <c r="F32" s="21">
        <v>2700</v>
      </c>
    </row>
    <row r="33" spans="1:6" x14ac:dyDescent="0.25">
      <c r="A33" s="13" t="s">
        <v>18</v>
      </c>
      <c r="B33" s="19">
        <v>4</v>
      </c>
      <c r="C33" s="21">
        <v>5000</v>
      </c>
      <c r="D33" s="13" t="s">
        <v>70</v>
      </c>
      <c r="E33" s="19"/>
      <c r="F33" s="21"/>
    </row>
    <row r="34" spans="1:6" x14ac:dyDescent="0.25">
      <c r="A34" s="13" t="s">
        <v>18</v>
      </c>
      <c r="B34" s="19">
        <v>10</v>
      </c>
      <c r="C34" s="21">
        <v>12000</v>
      </c>
      <c r="D34" s="36"/>
      <c r="E34" s="19"/>
      <c r="F34" s="21"/>
    </row>
    <row r="35" spans="1:6" x14ac:dyDescent="0.25">
      <c r="A35" s="13" t="s">
        <v>18</v>
      </c>
      <c r="B35" s="19">
        <v>20</v>
      </c>
      <c r="C35" s="21">
        <v>23500</v>
      </c>
      <c r="D35" s="13" t="s">
        <v>73</v>
      </c>
      <c r="E35" s="19">
        <v>1</v>
      </c>
      <c r="F35" s="21">
        <v>1000</v>
      </c>
    </row>
    <row r="36" spans="1:6" x14ac:dyDescent="0.25">
      <c r="A36" s="13"/>
      <c r="B36" s="19"/>
      <c r="C36" s="21"/>
      <c r="D36" s="13" t="s">
        <v>73</v>
      </c>
      <c r="E36" s="19">
        <v>4</v>
      </c>
      <c r="F36" s="21">
        <v>3900</v>
      </c>
    </row>
    <row r="37" spans="1:6" x14ac:dyDescent="0.25">
      <c r="A37" s="13" t="s">
        <v>21</v>
      </c>
      <c r="B37" s="19">
        <v>1</v>
      </c>
      <c r="C37" s="21">
        <v>350</v>
      </c>
      <c r="D37" s="13" t="s">
        <v>77</v>
      </c>
      <c r="E37" s="19">
        <v>1</v>
      </c>
      <c r="F37" s="21">
        <v>1100</v>
      </c>
    </row>
    <row r="38" spans="1:6" x14ac:dyDescent="0.25">
      <c r="A38" s="13" t="s">
        <v>21</v>
      </c>
      <c r="B38" s="19">
        <v>4</v>
      </c>
      <c r="C38" s="21">
        <v>1200</v>
      </c>
      <c r="D38" s="13" t="s">
        <v>77</v>
      </c>
      <c r="E38" s="19">
        <v>4</v>
      </c>
      <c r="F38" s="21">
        <v>4200</v>
      </c>
    </row>
    <row r="39" spans="1:6" x14ac:dyDescent="0.25">
      <c r="A39" s="13" t="s">
        <v>21</v>
      </c>
      <c r="B39" s="19">
        <v>10</v>
      </c>
      <c r="C39" s="21">
        <v>2900</v>
      </c>
      <c r="D39" s="13"/>
      <c r="E39" s="8"/>
      <c r="F39" s="21"/>
    </row>
    <row r="40" spans="1:6" x14ac:dyDescent="0.25">
      <c r="A40" s="13" t="s">
        <v>21</v>
      </c>
      <c r="B40" s="19">
        <v>20</v>
      </c>
      <c r="C40" s="21">
        <v>5500</v>
      </c>
      <c r="D40" s="13" t="s">
        <v>81</v>
      </c>
      <c r="E40" s="8">
        <v>4</v>
      </c>
      <c r="F40" s="21">
        <v>3100</v>
      </c>
    </row>
    <row r="41" spans="1:6" x14ac:dyDescent="0.25">
      <c r="A41" s="13"/>
      <c r="B41" s="19"/>
      <c r="C41" s="21"/>
      <c r="D41" s="13" t="s">
        <v>81</v>
      </c>
      <c r="E41" s="8">
        <v>10</v>
      </c>
      <c r="F41" s="21">
        <v>7600</v>
      </c>
    </row>
    <row r="42" spans="1:6" x14ac:dyDescent="0.25">
      <c r="A42" s="13" t="s">
        <v>24</v>
      </c>
      <c r="B42" s="19">
        <v>1</v>
      </c>
      <c r="C42" s="21">
        <v>450</v>
      </c>
      <c r="D42" s="13" t="s">
        <v>81</v>
      </c>
      <c r="E42" s="8">
        <v>20</v>
      </c>
      <c r="F42" s="21">
        <v>15000</v>
      </c>
    </row>
    <row r="43" spans="1:6" x14ac:dyDescent="0.25">
      <c r="A43" s="13" t="s">
        <v>24</v>
      </c>
      <c r="B43" s="19">
        <v>4</v>
      </c>
      <c r="C43" s="21">
        <v>1500</v>
      </c>
      <c r="D43" s="13"/>
      <c r="E43" s="8"/>
      <c r="F43" s="21"/>
    </row>
    <row r="44" spans="1:6" x14ac:dyDescent="0.25">
      <c r="A44" s="13" t="s">
        <v>24</v>
      </c>
      <c r="B44" s="19">
        <v>10</v>
      </c>
      <c r="C44" s="21">
        <v>3600</v>
      </c>
      <c r="D44" s="13" t="s">
        <v>83</v>
      </c>
      <c r="E44" s="8">
        <v>3</v>
      </c>
      <c r="F44" s="21">
        <v>1100</v>
      </c>
    </row>
    <row r="45" spans="1:6" x14ac:dyDescent="0.25">
      <c r="A45" s="13" t="s">
        <v>24</v>
      </c>
      <c r="B45" s="19">
        <v>20</v>
      </c>
      <c r="C45" s="21">
        <v>7500</v>
      </c>
      <c r="D45" s="13" t="s">
        <v>83</v>
      </c>
      <c r="E45" s="8">
        <v>15</v>
      </c>
      <c r="F45" s="21">
        <v>5200</v>
      </c>
    </row>
    <row r="46" spans="1:6" x14ac:dyDescent="0.25">
      <c r="A46" s="13"/>
      <c r="B46" s="19"/>
      <c r="C46" s="21"/>
      <c r="D46" s="13"/>
      <c r="E46" s="8"/>
      <c r="F46" s="5"/>
    </row>
    <row r="47" spans="1:6" x14ac:dyDescent="0.25">
      <c r="A47" s="13" t="s">
        <v>27</v>
      </c>
      <c r="B47" s="19">
        <v>1</v>
      </c>
      <c r="C47" s="21">
        <v>600</v>
      </c>
      <c r="D47" s="13" t="s">
        <v>85</v>
      </c>
      <c r="E47" s="8">
        <v>1</v>
      </c>
      <c r="F47" s="21">
        <v>325</v>
      </c>
    </row>
    <row r="48" spans="1:6" x14ac:dyDescent="0.25">
      <c r="A48" s="13" t="s">
        <v>27</v>
      </c>
      <c r="B48" s="19">
        <v>4</v>
      </c>
      <c r="C48" s="21">
        <v>2200</v>
      </c>
      <c r="D48" s="13" t="s">
        <v>86</v>
      </c>
      <c r="E48" s="18">
        <v>1</v>
      </c>
      <c r="F48" s="21">
        <v>250</v>
      </c>
    </row>
    <row r="49" spans="1:6" x14ac:dyDescent="0.25">
      <c r="A49" s="13" t="s">
        <v>27</v>
      </c>
      <c r="B49" s="19">
        <v>10</v>
      </c>
      <c r="C49" s="21">
        <v>5300</v>
      </c>
      <c r="D49" s="13" t="s">
        <v>86</v>
      </c>
      <c r="E49" s="18">
        <v>5</v>
      </c>
      <c r="F49" s="21">
        <v>1050</v>
      </c>
    </row>
    <row r="50" spans="1:6" x14ac:dyDescent="0.25">
      <c r="A50" s="13" t="s">
        <v>27</v>
      </c>
      <c r="B50" s="19">
        <v>20</v>
      </c>
      <c r="C50" s="21">
        <v>10300</v>
      </c>
      <c r="D50" s="13" t="s">
        <v>86</v>
      </c>
      <c r="E50" s="18">
        <v>10</v>
      </c>
      <c r="F50" s="21">
        <v>1700</v>
      </c>
    </row>
    <row r="51" spans="1:6" x14ac:dyDescent="0.25">
      <c r="A51" s="13"/>
      <c r="B51" s="19"/>
      <c r="C51" s="21"/>
      <c r="D51" s="13" t="s">
        <v>86</v>
      </c>
      <c r="E51" s="18">
        <v>20</v>
      </c>
      <c r="F51" s="21" t="s">
        <v>87</v>
      </c>
    </row>
    <row r="52" spans="1:6" x14ac:dyDescent="0.25">
      <c r="A52" s="13" t="s">
        <v>31</v>
      </c>
      <c r="B52" s="19">
        <v>1</v>
      </c>
      <c r="C52" s="21">
        <v>800</v>
      </c>
      <c r="D52" s="13"/>
      <c r="E52" s="18"/>
      <c r="F52" s="21"/>
    </row>
    <row r="53" spans="1:6" x14ac:dyDescent="0.25">
      <c r="A53" s="13" t="s">
        <v>31</v>
      </c>
      <c r="B53" s="19">
        <v>4</v>
      </c>
      <c r="C53" s="21">
        <v>3100</v>
      </c>
      <c r="D53" s="13" t="s">
        <v>88</v>
      </c>
      <c r="E53" s="19">
        <v>0.25</v>
      </c>
      <c r="F53" s="21">
        <v>150</v>
      </c>
    </row>
    <row r="54" spans="1:6" x14ac:dyDescent="0.25">
      <c r="A54" s="13" t="s">
        <v>31</v>
      </c>
      <c r="B54" s="19">
        <v>10</v>
      </c>
      <c r="C54" s="21">
        <v>7600</v>
      </c>
      <c r="D54" s="13" t="s">
        <v>88</v>
      </c>
      <c r="E54" s="19">
        <v>1</v>
      </c>
      <c r="F54" s="21">
        <v>600</v>
      </c>
    </row>
    <row r="55" spans="1:6" x14ac:dyDescent="0.25">
      <c r="A55" s="13" t="s">
        <v>31</v>
      </c>
      <c r="B55" s="19">
        <v>20</v>
      </c>
      <c r="C55" s="21">
        <v>15000</v>
      </c>
      <c r="D55" s="13"/>
      <c r="E55" s="8"/>
      <c r="F55" s="21"/>
    </row>
    <row r="56" spans="1:6" x14ac:dyDescent="0.25">
      <c r="A56" s="13"/>
      <c r="B56" s="19"/>
      <c r="C56" s="21"/>
      <c r="D56" s="13" t="s">
        <v>89</v>
      </c>
      <c r="E56" s="8">
        <v>0.5</v>
      </c>
      <c r="F56" s="21">
        <v>290</v>
      </c>
    </row>
    <row r="57" spans="1:6" x14ac:dyDescent="0.25">
      <c r="A57" s="13" t="s">
        <v>33</v>
      </c>
      <c r="B57" s="19">
        <v>1</v>
      </c>
      <c r="C57" s="21">
        <v>1200</v>
      </c>
      <c r="D57" s="13" t="s">
        <v>89</v>
      </c>
      <c r="E57" s="19">
        <v>1</v>
      </c>
      <c r="F57" s="21">
        <v>550</v>
      </c>
    </row>
    <row r="58" spans="1:6" x14ac:dyDescent="0.25">
      <c r="A58" s="13" t="s">
        <v>33</v>
      </c>
      <c r="B58" s="19">
        <v>4</v>
      </c>
      <c r="C58" s="21">
        <v>4600</v>
      </c>
      <c r="D58" s="13" t="s">
        <v>89</v>
      </c>
      <c r="E58" s="19">
        <v>4</v>
      </c>
      <c r="F58" s="21">
        <v>2000</v>
      </c>
    </row>
    <row r="59" spans="1:6" x14ac:dyDescent="0.25">
      <c r="A59" s="13" t="s">
        <v>33</v>
      </c>
      <c r="B59" s="19">
        <v>10</v>
      </c>
      <c r="C59" s="21">
        <v>11000</v>
      </c>
      <c r="D59" s="13"/>
      <c r="E59" s="19"/>
      <c r="F59" s="21"/>
    </row>
    <row r="60" spans="1:6" x14ac:dyDescent="0.25">
      <c r="A60" s="13" t="s">
        <v>33</v>
      </c>
      <c r="B60" s="19">
        <v>20</v>
      </c>
      <c r="C60" s="21">
        <v>21000</v>
      </c>
      <c r="D60" s="13" t="s">
        <v>90</v>
      </c>
      <c r="E60" s="19">
        <v>0.5</v>
      </c>
      <c r="F60" s="21">
        <v>375</v>
      </c>
    </row>
    <row r="61" spans="1:6" x14ac:dyDescent="0.25">
      <c r="A61" s="13"/>
      <c r="B61" s="19"/>
      <c r="C61" s="21"/>
      <c r="D61" s="13" t="s">
        <v>90</v>
      </c>
      <c r="E61" s="19">
        <v>1</v>
      </c>
      <c r="F61" s="21">
        <v>700</v>
      </c>
    </row>
    <row r="62" spans="1:6" x14ac:dyDescent="0.25">
      <c r="A62" s="13" t="s">
        <v>37</v>
      </c>
      <c r="B62" s="19">
        <v>1</v>
      </c>
      <c r="C62" s="21">
        <v>1350</v>
      </c>
      <c r="D62" s="13" t="s">
        <v>90</v>
      </c>
      <c r="E62" s="19">
        <v>4</v>
      </c>
      <c r="F62" s="21">
        <v>2600</v>
      </c>
    </row>
    <row r="63" spans="1:6" x14ac:dyDescent="0.25">
      <c r="A63" s="13" t="s">
        <v>38</v>
      </c>
      <c r="B63" s="19">
        <v>4</v>
      </c>
      <c r="C63" s="21">
        <v>5200</v>
      </c>
      <c r="D63" s="13"/>
      <c r="E63" s="19"/>
      <c r="F63" s="21"/>
    </row>
    <row r="64" spans="1:6" x14ac:dyDescent="0.25">
      <c r="A64" s="13"/>
      <c r="B64" s="19"/>
      <c r="C64" s="21"/>
      <c r="D64" s="13" t="s">
        <v>91</v>
      </c>
      <c r="E64" s="19">
        <v>0.2</v>
      </c>
      <c r="F64" s="21">
        <v>250</v>
      </c>
    </row>
    <row r="65" spans="1:6" x14ac:dyDescent="0.25">
      <c r="A65" s="13" t="s">
        <v>41</v>
      </c>
      <c r="B65" s="19">
        <v>1</v>
      </c>
      <c r="C65" s="21">
        <v>1550</v>
      </c>
      <c r="D65" s="13" t="s">
        <v>91</v>
      </c>
      <c r="E65" s="19">
        <v>0.5</v>
      </c>
      <c r="F65" s="21">
        <v>450</v>
      </c>
    </row>
    <row r="66" spans="1:6" x14ac:dyDescent="0.25">
      <c r="A66" s="13" t="s">
        <v>41</v>
      </c>
      <c r="B66" s="19">
        <v>4</v>
      </c>
      <c r="C66" s="21">
        <v>5900</v>
      </c>
      <c r="D66" s="13" t="s">
        <v>91</v>
      </c>
      <c r="E66" s="19">
        <v>1</v>
      </c>
      <c r="F66" s="21">
        <v>850</v>
      </c>
    </row>
    <row r="67" spans="1:6" x14ac:dyDescent="0.25">
      <c r="A67" s="13" t="s">
        <v>41</v>
      </c>
      <c r="B67" s="19">
        <v>10</v>
      </c>
      <c r="C67" s="21">
        <v>14200</v>
      </c>
      <c r="D67" s="13"/>
      <c r="E67" s="19"/>
      <c r="F67" s="21"/>
    </row>
    <row r="68" spans="1:6" x14ac:dyDescent="0.25">
      <c r="A68" s="13" t="s">
        <v>41</v>
      </c>
      <c r="B68" s="19">
        <v>20</v>
      </c>
      <c r="C68" s="21">
        <v>28200</v>
      </c>
      <c r="D68" s="13" t="s">
        <v>95</v>
      </c>
      <c r="E68" s="19">
        <v>0.2</v>
      </c>
      <c r="F68" s="21">
        <v>350</v>
      </c>
    </row>
    <row r="69" spans="1:6" x14ac:dyDescent="0.25">
      <c r="A69" s="13"/>
      <c r="B69" s="19"/>
      <c r="C69" s="21"/>
      <c r="D69" s="13" t="s">
        <v>95</v>
      </c>
      <c r="E69" s="19">
        <v>1</v>
      </c>
      <c r="F69" s="21">
        <v>1425</v>
      </c>
    </row>
    <row r="70" spans="1:6" x14ac:dyDescent="0.25">
      <c r="A70" s="13" t="s">
        <v>44</v>
      </c>
      <c r="B70" s="19">
        <v>1</v>
      </c>
      <c r="C70" s="21">
        <v>1200</v>
      </c>
      <c r="D70" s="13" t="s">
        <v>96</v>
      </c>
      <c r="E70" s="19">
        <v>0.2</v>
      </c>
      <c r="F70" s="21">
        <v>600</v>
      </c>
    </row>
    <row r="71" spans="1:6" x14ac:dyDescent="0.25">
      <c r="A71" s="13" t="s">
        <v>44</v>
      </c>
      <c r="B71" s="19">
        <v>4</v>
      </c>
      <c r="C71" s="21">
        <v>4500</v>
      </c>
      <c r="D71" s="13" t="s">
        <v>96</v>
      </c>
      <c r="E71" s="19">
        <v>1</v>
      </c>
      <c r="F71" s="21">
        <v>2670</v>
      </c>
    </row>
    <row r="72" spans="1:6" x14ac:dyDescent="0.25">
      <c r="A72" s="13" t="s">
        <v>44</v>
      </c>
      <c r="B72" s="19">
        <v>10</v>
      </c>
      <c r="C72" s="21">
        <v>10700</v>
      </c>
      <c r="D72" s="13" t="s">
        <v>97</v>
      </c>
      <c r="E72" s="19">
        <v>0.2</v>
      </c>
      <c r="F72" s="21">
        <v>600</v>
      </c>
    </row>
    <row r="73" spans="1:6" x14ac:dyDescent="0.25">
      <c r="A73" s="13" t="s">
        <v>44</v>
      </c>
      <c r="B73" s="19">
        <v>20</v>
      </c>
      <c r="C73" s="21">
        <v>20500</v>
      </c>
      <c r="D73" s="13" t="s">
        <v>97</v>
      </c>
      <c r="E73" s="19">
        <v>1</v>
      </c>
      <c r="F73" s="21">
        <v>2670</v>
      </c>
    </row>
    <row r="74" spans="1:6" x14ac:dyDescent="0.25">
      <c r="A74" s="13"/>
      <c r="B74" s="19"/>
      <c r="C74" s="21"/>
      <c r="D74" s="13" t="s">
        <v>98</v>
      </c>
      <c r="E74" s="19">
        <v>0.2</v>
      </c>
      <c r="F74" s="21">
        <v>600</v>
      </c>
    </row>
    <row r="75" spans="1:6" x14ac:dyDescent="0.25">
      <c r="A75" s="13" t="s">
        <v>47</v>
      </c>
      <c r="B75" s="19">
        <v>1</v>
      </c>
      <c r="C75" s="21">
        <v>260</v>
      </c>
      <c r="D75" s="13" t="s">
        <v>98</v>
      </c>
      <c r="E75" s="19">
        <v>1</v>
      </c>
      <c r="F75" s="21">
        <v>2670</v>
      </c>
    </row>
    <row r="76" spans="1:6" x14ac:dyDescent="0.25">
      <c r="A76" s="13" t="s">
        <v>47</v>
      </c>
      <c r="B76" s="19">
        <v>5</v>
      </c>
      <c r="C76" s="21">
        <v>1100</v>
      </c>
      <c r="D76" s="13"/>
      <c r="E76" s="14"/>
      <c r="F76" s="21"/>
    </row>
    <row r="77" spans="1:6" x14ac:dyDescent="0.25">
      <c r="A77" s="13" t="s">
        <v>47</v>
      </c>
      <c r="B77" s="19">
        <v>10</v>
      </c>
      <c r="C77" s="21">
        <v>2100</v>
      </c>
      <c r="D77" s="13" t="s">
        <v>99</v>
      </c>
      <c r="E77" s="19">
        <v>0.2</v>
      </c>
      <c r="F77" s="21">
        <v>725</v>
      </c>
    </row>
    <row r="78" spans="1:6" x14ac:dyDescent="0.25">
      <c r="A78" s="13" t="s">
        <v>47</v>
      </c>
      <c r="B78" s="19">
        <v>20</v>
      </c>
      <c r="C78" s="21">
        <v>3900</v>
      </c>
      <c r="D78" s="13" t="s">
        <v>99</v>
      </c>
      <c r="E78" s="19">
        <v>1</v>
      </c>
      <c r="F78" s="21">
        <v>2850</v>
      </c>
    </row>
    <row r="79" spans="1:6" x14ac:dyDescent="0.25">
      <c r="A79" s="13"/>
      <c r="B79" s="19"/>
      <c r="C79" s="21"/>
      <c r="D79" s="13" t="s">
        <v>100</v>
      </c>
      <c r="E79" s="19">
        <v>0.2</v>
      </c>
      <c r="F79" s="21">
        <v>650</v>
      </c>
    </row>
    <row r="80" spans="1:6" x14ac:dyDescent="0.25">
      <c r="A80" s="13" t="s">
        <v>50</v>
      </c>
      <c r="B80" s="19">
        <v>1</v>
      </c>
      <c r="C80" s="21">
        <v>150</v>
      </c>
      <c r="D80" s="13" t="s">
        <v>100</v>
      </c>
      <c r="E80" s="19">
        <v>1</v>
      </c>
      <c r="F80" s="21">
        <v>2400</v>
      </c>
    </row>
    <row r="81" spans="1:6" x14ac:dyDescent="0.25">
      <c r="A81" s="13" t="s">
        <v>50</v>
      </c>
      <c r="B81" s="19">
        <v>5</v>
      </c>
      <c r="C81" s="21">
        <v>600</v>
      </c>
      <c r="D81" s="13"/>
      <c r="E81" s="19"/>
      <c r="F81" s="21"/>
    </row>
    <row r="82" spans="1:6" x14ac:dyDescent="0.25">
      <c r="A82" s="13" t="s">
        <v>50</v>
      </c>
      <c r="B82" s="19">
        <v>10</v>
      </c>
      <c r="C82" s="21">
        <v>1100</v>
      </c>
      <c r="D82" s="1" t="s">
        <v>160</v>
      </c>
      <c r="E82" s="26">
        <v>1</v>
      </c>
      <c r="F82" s="5">
        <v>1300</v>
      </c>
    </row>
    <row r="83" spans="1:6" x14ac:dyDescent="0.25">
      <c r="A83" s="13" t="s">
        <v>50</v>
      </c>
      <c r="B83" s="19">
        <v>20</v>
      </c>
      <c r="C83" s="21">
        <v>2000</v>
      </c>
      <c r="D83" s="1" t="s">
        <v>160</v>
      </c>
      <c r="E83" s="26">
        <v>4</v>
      </c>
      <c r="F83" s="5">
        <v>5000</v>
      </c>
    </row>
    <row r="84" spans="1:6" x14ac:dyDescent="0.25">
      <c r="A84" s="13"/>
      <c r="B84" s="19"/>
      <c r="C84" s="21"/>
      <c r="D84" s="1" t="s">
        <v>160</v>
      </c>
      <c r="E84" s="26">
        <v>10</v>
      </c>
      <c r="F84" s="5"/>
    </row>
    <row r="85" spans="1:6" x14ac:dyDescent="0.25">
      <c r="D85" s="1" t="s">
        <v>160</v>
      </c>
      <c r="E85" s="26">
        <v>20</v>
      </c>
      <c r="F85" s="5"/>
    </row>
    <row r="86" spans="1:6" x14ac:dyDescent="0.25">
      <c r="D86" s="1"/>
      <c r="E86" s="26"/>
      <c r="F86" s="5"/>
    </row>
    <row r="87" spans="1:6" x14ac:dyDescent="0.25">
      <c r="D87" s="1" t="s">
        <v>161</v>
      </c>
      <c r="E87" s="26">
        <v>1</v>
      </c>
      <c r="F87" s="5">
        <v>1450</v>
      </c>
    </row>
    <row r="88" spans="1:6" x14ac:dyDescent="0.25">
      <c r="D88" s="1" t="s">
        <v>161</v>
      </c>
      <c r="E88" s="26">
        <v>4</v>
      </c>
      <c r="F88" s="5">
        <v>5250</v>
      </c>
    </row>
    <row r="173" spans="1:3" x14ac:dyDescent="0.25">
      <c r="A173" s="1"/>
      <c r="B173" s="26"/>
      <c r="C173" s="7"/>
    </row>
    <row r="174" spans="1:3" x14ac:dyDescent="0.25">
      <c r="A174" s="1"/>
      <c r="B174" s="26"/>
      <c r="C174" s="7"/>
    </row>
    <row r="175" spans="1:3" x14ac:dyDescent="0.25">
      <c r="A175" s="1"/>
      <c r="B175" s="26"/>
      <c r="C175" s="7"/>
    </row>
    <row r="176" spans="1:3" x14ac:dyDescent="0.25">
      <c r="A176" s="1"/>
      <c r="B176" s="26"/>
      <c r="C176" s="7"/>
    </row>
    <row r="177" spans="1:3" x14ac:dyDescent="0.25">
      <c r="A177" s="1"/>
      <c r="B177" s="26"/>
      <c r="C177" s="7"/>
    </row>
    <row r="178" spans="1:3" x14ac:dyDescent="0.25">
      <c r="A178" s="1"/>
      <c r="B178" s="26"/>
      <c r="C178" s="7"/>
    </row>
    <row r="179" spans="1:3" x14ac:dyDescent="0.25">
      <c r="A179" s="1"/>
      <c r="B179" s="26"/>
      <c r="C179" s="7"/>
    </row>
    <row r="180" spans="1:3" x14ac:dyDescent="0.25">
      <c r="A180" s="1"/>
      <c r="B180" s="26"/>
      <c r="C180" s="7"/>
    </row>
    <row r="181" spans="1:3" x14ac:dyDescent="0.25">
      <c r="A181" s="1"/>
      <c r="B181" s="26"/>
      <c r="C181" s="7"/>
    </row>
    <row r="182" spans="1:3" x14ac:dyDescent="0.25">
      <c r="A182" s="1"/>
      <c r="B182" s="26"/>
      <c r="C182" s="7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53"/>
  <sheetViews>
    <sheetView topLeftCell="A28" zoomScaleNormal="100" workbookViewId="0">
      <selection activeCell="G272" sqref="G272"/>
    </sheetView>
  </sheetViews>
  <sheetFormatPr defaultRowHeight="15" x14ac:dyDescent="0.25"/>
  <cols>
    <col min="1" max="1" width="9.140625" customWidth="1"/>
    <col min="2" max="2" width="24" customWidth="1"/>
    <col min="3" max="3" width="4.5703125" bestFit="1" customWidth="1"/>
    <col min="4" max="4" width="9.5703125" customWidth="1"/>
    <col min="6" max="6" width="7.28515625" customWidth="1"/>
    <col min="7" max="7" width="26.85546875" customWidth="1"/>
    <col min="8" max="8" width="4.5703125" bestFit="1" customWidth="1"/>
    <col min="10" max="10" width="11.140625" bestFit="1" customWidth="1"/>
  </cols>
  <sheetData>
    <row r="1" spans="2:14" x14ac:dyDescent="0.25">
      <c r="N1" t="s">
        <v>64</v>
      </c>
    </row>
    <row r="4" spans="2:14" x14ac:dyDescent="0.25">
      <c r="F4" s="43"/>
    </row>
    <row r="5" spans="2:14" x14ac:dyDescent="0.25">
      <c r="G5" t="s">
        <v>0</v>
      </c>
    </row>
    <row r="12" spans="2:14" x14ac:dyDescent="0.25">
      <c r="B12" s="4" t="s">
        <v>162</v>
      </c>
      <c r="C12" s="6" t="s">
        <v>163</v>
      </c>
      <c r="D12" s="37" t="s">
        <v>164</v>
      </c>
      <c r="E12" s="42" t="s">
        <v>165</v>
      </c>
      <c r="F12" s="2"/>
      <c r="G12" s="4" t="s">
        <v>166</v>
      </c>
      <c r="H12" s="6" t="s">
        <v>163</v>
      </c>
      <c r="I12" s="37" t="s">
        <v>1</v>
      </c>
      <c r="J12" s="40" t="s">
        <v>165</v>
      </c>
    </row>
    <row r="13" spans="2:14" ht="21" x14ac:dyDescent="0.35">
      <c r="B13" s="116" t="s">
        <v>167</v>
      </c>
      <c r="C13" s="117"/>
      <c r="D13" s="117"/>
      <c r="E13" s="118"/>
      <c r="F13" s="2"/>
      <c r="G13" s="116" t="s">
        <v>168</v>
      </c>
      <c r="H13" s="117"/>
      <c r="I13" s="117"/>
      <c r="J13" s="118"/>
    </row>
    <row r="14" spans="2:14" x14ac:dyDescent="0.25">
      <c r="B14" s="27" t="s">
        <v>169</v>
      </c>
      <c r="C14" s="26">
        <v>1</v>
      </c>
      <c r="D14" s="37">
        <f>'JESTH- 2083'!C228</f>
        <v>175</v>
      </c>
      <c r="E14" s="42">
        <f>'JESTH- 2083'!D228</f>
        <v>223</v>
      </c>
      <c r="G14" s="27" t="s">
        <v>170</v>
      </c>
      <c r="H14" s="26">
        <v>1</v>
      </c>
      <c r="I14" s="37">
        <f>'JESTH- 2083'!C2</f>
        <v>450</v>
      </c>
      <c r="J14" s="40">
        <f>'JESTH- 2083'!D2</f>
        <v>598</v>
      </c>
    </row>
    <row r="15" spans="2:14" x14ac:dyDescent="0.25">
      <c r="B15" s="27" t="s">
        <v>169</v>
      </c>
      <c r="C15" s="26">
        <v>20</v>
      </c>
      <c r="D15" s="37">
        <f>'JESTH- 2083'!C231</f>
        <v>2200</v>
      </c>
      <c r="E15" s="42">
        <f>'JESTH- 2083'!D231</f>
        <v>3307</v>
      </c>
      <c r="G15" s="27" t="s">
        <v>171</v>
      </c>
      <c r="H15" s="26">
        <v>20</v>
      </c>
      <c r="I15" s="37">
        <f>'JESTH- 2083'!C5</f>
        <v>7000</v>
      </c>
      <c r="J15" s="40">
        <f>'JESTH- 2083'!D5</f>
        <v>9570</v>
      </c>
    </row>
    <row r="16" spans="2:14" x14ac:dyDescent="0.25">
      <c r="B16" s="27"/>
      <c r="C16" s="26"/>
      <c r="D16" s="37"/>
      <c r="E16" s="42"/>
      <c r="G16" s="27"/>
      <c r="H16" s="26"/>
      <c r="I16" s="37"/>
      <c r="J16" s="40"/>
    </row>
    <row r="17" spans="2:10" x14ac:dyDescent="0.25">
      <c r="B17" s="27" t="s">
        <v>172</v>
      </c>
      <c r="C17" s="26">
        <v>1</v>
      </c>
      <c r="D17" s="37">
        <f>'JESTH- 2083'!C219</f>
        <v>260</v>
      </c>
      <c r="E17" s="42">
        <f>'JESTH- 2083'!D219</f>
        <v>317</v>
      </c>
      <c r="G17" s="27" t="s">
        <v>173</v>
      </c>
      <c r="H17" s="26">
        <v>1</v>
      </c>
      <c r="I17" s="37">
        <f>'JESTH- 2083'!C19</f>
        <v>800</v>
      </c>
      <c r="J17" s="40">
        <f>'JESTH- 2083'!D19</f>
        <v>1107</v>
      </c>
    </row>
    <row r="18" spans="2:10" x14ac:dyDescent="0.25">
      <c r="B18" s="27" t="s">
        <v>172</v>
      </c>
      <c r="C18" s="26">
        <v>20</v>
      </c>
      <c r="D18" s="37">
        <f>'JESTH- 2083'!C222</f>
        <v>3900</v>
      </c>
      <c r="E18" s="42">
        <f>'JESTH- 2083'!D222</f>
        <v>4964</v>
      </c>
      <c r="G18" s="27" t="s">
        <v>173</v>
      </c>
      <c r="H18" s="26">
        <v>20</v>
      </c>
      <c r="I18" s="37">
        <f>'JESTH- 2083'!C22</f>
        <v>13500</v>
      </c>
      <c r="J18" s="40">
        <f>'JESTH- 2083'!D22</f>
        <v>19517</v>
      </c>
    </row>
    <row r="19" spans="2:10" x14ac:dyDescent="0.25">
      <c r="B19" s="27"/>
      <c r="C19" s="26"/>
      <c r="D19" s="37"/>
      <c r="E19" s="42"/>
      <c r="G19" s="27"/>
      <c r="H19" s="26"/>
      <c r="I19" s="37"/>
      <c r="J19" s="40"/>
    </row>
    <row r="20" spans="2:10" x14ac:dyDescent="0.25">
      <c r="B20" s="27" t="s">
        <v>174</v>
      </c>
      <c r="C20" s="26">
        <v>1</v>
      </c>
      <c r="D20" s="37">
        <f>'JESTH- 2083'!C106</f>
        <v>400</v>
      </c>
      <c r="E20" s="42">
        <f>'JESTH- 2083'!D106</f>
        <v>547</v>
      </c>
      <c r="G20" s="27" t="s">
        <v>175</v>
      </c>
      <c r="H20" s="26">
        <v>1</v>
      </c>
      <c r="I20" s="37">
        <f>'JESTH- 2083'!C32</f>
        <v>900</v>
      </c>
      <c r="J20" s="40">
        <f>'JESTH- 2083'!D32</f>
        <v>1358</v>
      </c>
    </row>
    <row r="21" spans="2:10" x14ac:dyDescent="0.25">
      <c r="B21" s="27" t="s">
        <v>174</v>
      </c>
      <c r="C21" s="26">
        <v>20</v>
      </c>
      <c r="D21" s="37">
        <f>'JESTH- 2083'!C109</f>
        <v>6000</v>
      </c>
      <c r="E21" s="42">
        <f>'JESTH- 2083'!D109</f>
        <v>8689</v>
      </c>
      <c r="G21" s="27" t="s">
        <v>175</v>
      </c>
      <c r="H21" s="26">
        <v>20</v>
      </c>
      <c r="I21" s="37">
        <f>'JESTH- 2083'!C35</f>
        <v>16000</v>
      </c>
      <c r="J21" s="40">
        <f>'JESTH- 2083'!D35</f>
        <v>24532</v>
      </c>
    </row>
    <row r="22" spans="2:10" x14ac:dyDescent="0.25">
      <c r="B22" s="27"/>
      <c r="C22" s="26"/>
      <c r="D22" s="37"/>
      <c r="E22" s="42"/>
      <c r="G22" s="27"/>
      <c r="H22" s="26"/>
      <c r="I22" s="37"/>
      <c r="J22" s="40"/>
    </row>
    <row r="23" spans="2:10" x14ac:dyDescent="0.25">
      <c r="B23" s="27" t="s">
        <v>176</v>
      </c>
      <c r="C23" s="26">
        <v>1</v>
      </c>
      <c r="D23" s="37">
        <f>'JESTH- 2083'!C132</f>
        <v>700</v>
      </c>
      <c r="E23" s="42">
        <f>'JESTH- 2083'!D132</f>
        <v>892</v>
      </c>
      <c r="G23" s="27"/>
      <c r="H23" s="26"/>
      <c r="I23" s="38"/>
      <c r="J23" s="40"/>
    </row>
    <row r="24" spans="2:10" x14ac:dyDescent="0.25">
      <c r="B24" s="27" t="s">
        <v>176</v>
      </c>
      <c r="C24" s="26">
        <v>20</v>
      </c>
      <c r="D24" s="37">
        <f>'JESTH- 2083'!C135</f>
        <v>11500</v>
      </c>
      <c r="E24" s="42">
        <f>'JESTH- 2083'!D135</f>
        <v>15705</v>
      </c>
      <c r="G24" s="27"/>
      <c r="H24" s="26"/>
      <c r="I24" s="38"/>
      <c r="J24" s="40"/>
    </row>
    <row r="25" spans="2:10" x14ac:dyDescent="0.25">
      <c r="B25" s="27"/>
      <c r="C25" s="26"/>
      <c r="D25" s="37"/>
      <c r="E25" s="42"/>
      <c r="G25" s="27" t="s">
        <v>70</v>
      </c>
      <c r="H25" s="26"/>
      <c r="I25" s="37"/>
      <c r="J25" s="40"/>
    </row>
    <row r="26" spans="2:10" x14ac:dyDescent="0.25">
      <c r="B26" s="27" t="s">
        <v>177</v>
      </c>
      <c r="C26" s="26">
        <v>1</v>
      </c>
      <c r="D26" s="37">
        <f>'JESTH- 2083'!C149</f>
        <v>900</v>
      </c>
      <c r="E26" s="42">
        <f>'JESTH- 2083'!D149</f>
        <v>1391</v>
      </c>
      <c r="G26" s="27" t="s">
        <v>178</v>
      </c>
      <c r="H26" s="26">
        <v>1</v>
      </c>
      <c r="I26" s="37">
        <f>'JESTH- 2083'!C75</f>
        <v>1300</v>
      </c>
      <c r="J26" s="40">
        <f>'JESTH- 2083'!D75</f>
        <v>1792</v>
      </c>
    </row>
    <row r="27" spans="2:10" x14ac:dyDescent="0.25">
      <c r="B27" s="27" t="s">
        <v>177</v>
      </c>
      <c r="C27" s="26">
        <v>20</v>
      </c>
      <c r="D27" s="37">
        <f>'JESTH- 2083'!C152</f>
        <v>16000</v>
      </c>
      <c r="E27" s="42">
        <f>'JESTH- 2083'!D152</f>
        <v>25227</v>
      </c>
      <c r="G27" s="27" t="s">
        <v>178</v>
      </c>
      <c r="H27" s="26">
        <v>20</v>
      </c>
      <c r="I27" s="39">
        <f>'JESTH- 2083'!C78</f>
        <v>21500</v>
      </c>
      <c r="J27" s="40">
        <f>'JESTH- 2083'!D78</f>
        <v>32545</v>
      </c>
    </row>
    <row r="28" spans="2:10" x14ac:dyDescent="0.25">
      <c r="B28" s="27"/>
      <c r="C28" s="26"/>
      <c r="D28" s="37"/>
      <c r="E28" s="42"/>
      <c r="G28" s="1"/>
      <c r="H28" s="1"/>
      <c r="I28" s="39"/>
      <c r="J28" s="40"/>
    </row>
    <row r="29" spans="2:10" x14ac:dyDescent="0.25">
      <c r="B29" s="27" t="s">
        <v>179</v>
      </c>
      <c r="C29" s="26">
        <v>1</v>
      </c>
      <c r="D29" s="37">
        <f>'JESTH- 2083'!C166</f>
        <v>1200</v>
      </c>
      <c r="E29" s="42">
        <f>'JESTH- 2083'!D166</f>
        <v>1744</v>
      </c>
      <c r="G29" s="13" t="s">
        <v>180</v>
      </c>
      <c r="H29" s="26">
        <v>1</v>
      </c>
      <c r="I29" s="38">
        <f>'JESTH- 2083'!C93</f>
        <v>1100</v>
      </c>
      <c r="J29" s="40">
        <f>'JESTH- 2083'!D93</f>
        <v>1755</v>
      </c>
    </row>
    <row r="30" spans="2:10" x14ac:dyDescent="0.25">
      <c r="B30" s="27" t="s">
        <v>179</v>
      </c>
      <c r="C30" s="26">
        <v>20</v>
      </c>
      <c r="D30" s="37">
        <f>'JESTH- 2083'!C169</f>
        <v>21000</v>
      </c>
      <c r="E30" s="42">
        <f>'JESTH- 2083'!D169</f>
        <v>31693</v>
      </c>
      <c r="G30" s="13" t="s">
        <v>180</v>
      </c>
      <c r="H30" s="26">
        <v>20</v>
      </c>
      <c r="I30" s="5">
        <f>'JESTH- 2083'!C96</f>
        <v>18000</v>
      </c>
      <c r="J30" s="40">
        <f>'JESTH- 2083'!D96</f>
        <v>32076</v>
      </c>
    </row>
    <row r="31" spans="2:10" x14ac:dyDescent="0.25">
      <c r="B31" s="27"/>
      <c r="C31" s="26"/>
      <c r="D31" s="37"/>
      <c r="E31" s="42"/>
    </row>
    <row r="32" spans="2:10" ht="21" x14ac:dyDescent="0.35">
      <c r="B32" s="13" t="s">
        <v>3395</v>
      </c>
      <c r="C32" s="26">
        <v>1</v>
      </c>
      <c r="D32" s="37">
        <f>'JESTH- 2083'!C179</f>
        <v>550</v>
      </c>
      <c r="E32" s="42">
        <f>'JESTH- 2083'!D179</f>
        <v>560</v>
      </c>
      <c r="G32" s="114" t="s">
        <v>181</v>
      </c>
      <c r="H32" s="114"/>
      <c r="I32" s="114"/>
      <c r="J32" s="114"/>
    </row>
    <row r="33" spans="2:10" x14ac:dyDescent="0.25">
      <c r="B33" s="13" t="s">
        <v>3395</v>
      </c>
      <c r="C33" s="26">
        <v>20</v>
      </c>
      <c r="D33" s="37">
        <f>'JESTH- 2083'!C182</f>
        <v>8000</v>
      </c>
      <c r="E33" s="42">
        <f>'JESTH- 2083'!D182</f>
        <v>8370</v>
      </c>
      <c r="G33" s="27" t="s">
        <v>182</v>
      </c>
      <c r="H33" s="26">
        <v>1</v>
      </c>
      <c r="I33" s="37">
        <f>'JESTH- 2083'!C238</f>
        <v>325</v>
      </c>
      <c r="J33" s="40">
        <f>'JESTH- 2083'!D238</f>
        <v>403</v>
      </c>
    </row>
    <row r="34" spans="2:10" x14ac:dyDescent="0.25">
      <c r="B34" s="27"/>
      <c r="C34" s="26"/>
      <c r="D34" s="37"/>
      <c r="E34" s="42"/>
      <c r="G34" s="27" t="s">
        <v>182</v>
      </c>
      <c r="H34" s="26">
        <v>20</v>
      </c>
      <c r="I34" s="37">
        <f>'JESTH- 2083'!C241</f>
        <v>4000</v>
      </c>
      <c r="J34" s="40">
        <f>'JESTH- 2083'!D241</f>
        <v>5999</v>
      </c>
    </row>
    <row r="35" spans="2:10" x14ac:dyDescent="0.25">
      <c r="B35" s="27" t="s">
        <v>183</v>
      </c>
      <c r="C35" s="26">
        <v>1</v>
      </c>
      <c r="D35" s="37">
        <f>'JESTH- 2083'!C206</f>
        <v>1400</v>
      </c>
      <c r="E35" s="9">
        <f>'JESTH- 2083'!D206</f>
        <v>2140</v>
      </c>
      <c r="G35" s="27"/>
      <c r="H35" s="26"/>
      <c r="I35" s="37"/>
      <c r="J35" s="40"/>
    </row>
    <row r="36" spans="2:10" x14ac:dyDescent="0.25">
      <c r="B36" s="27" t="s">
        <v>183</v>
      </c>
      <c r="C36" s="26">
        <v>20</v>
      </c>
      <c r="D36" s="37">
        <f>'JESTH- 2083'!C209</f>
        <v>24500</v>
      </c>
      <c r="E36" s="42">
        <f>'JESTH- 2083'!D209</f>
        <v>36594</v>
      </c>
      <c r="G36" s="27" t="s">
        <v>51</v>
      </c>
      <c r="H36" s="26">
        <v>1</v>
      </c>
      <c r="I36" s="37">
        <f>'JESTH- 2083'!C233</f>
        <v>375</v>
      </c>
      <c r="J36" s="40">
        <f>'JESTH- 2083'!D233</f>
        <v>562</v>
      </c>
    </row>
    <row r="37" spans="2:10" x14ac:dyDescent="0.25">
      <c r="B37" s="27"/>
      <c r="C37" s="26"/>
      <c r="D37" s="37"/>
      <c r="E37" s="42"/>
      <c r="G37" s="27" t="s">
        <v>51</v>
      </c>
      <c r="H37" s="26">
        <v>20</v>
      </c>
      <c r="I37" s="37">
        <f>'JESTH- 2083'!C236</f>
        <v>5500</v>
      </c>
      <c r="J37" s="40">
        <f>'JESTH- 2083'!D236</f>
        <v>8882</v>
      </c>
    </row>
    <row r="38" spans="2:10" x14ac:dyDescent="0.25">
      <c r="B38" s="27" t="s">
        <v>184</v>
      </c>
      <c r="C38" s="26">
        <v>1</v>
      </c>
      <c r="D38" s="38">
        <f>'JESTH- 2083'!C193</f>
        <v>1550</v>
      </c>
      <c r="E38" s="9">
        <f>'JESTH- 2083'!D193</f>
        <v>2140</v>
      </c>
      <c r="G38" s="27"/>
      <c r="H38" s="26"/>
      <c r="I38" s="37"/>
      <c r="J38" s="40"/>
    </row>
    <row r="39" spans="2:10" x14ac:dyDescent="0.25">
      <c r="B39" s="27" t="s">
        <v>184</v>
      </c>
      <c r="C39" s="26">
        <v>20</v>
      </c>
      <c r="D39" s="5">
        <f>'JESTH- 2083'!C196</f>
        <v>28200</v>
      </c>
      <c r="E39" s="9">
        <f>'JESTH- 2083'!D196</f>
        <v>36594</v>
      </c>
      <c r="G39" s="27" t="s">
        <v>185</v>
      </c>
      <c r="H39" s="26">
        <v>40</v>
      </c>
      <c r="I39" s="37">
        <f>'JESTH- 2083'!C326</f>
        <v>1400</v>
      </c>
      <c r="J39" s="41">
        <f>'JESTH- 2083'!D326</f>
        <v>2642</v>
      </c>
    </row>
    <row r="40" spans="2:10" x14ac:dyDescent="0.25">
      <c r="B40" s="28"/>
      <c r="C40" s="10"/>
      <c r="D40" s="11"/>
      <c r="E40" s="11"/>
      <c r="G40" s="27"/>
      <c r="H40" s="26"/>
      <c r="I40" s="37"/>
      <c r="J40" s="40"/>
    </row>
    <row r="41" spans="2:10" x14ac:dyDescent="0.25">
      <c r="B41" s="28"/>
      <c r="C41" s="10"/>
      <c r="D41" s="11"/>
      <c r="E41" s="11"/>
      <c r="G41" s="27" t="s">
        <v>2927</v>
      </c>
      <c r="H41" s="29">
        <v>20</v>
      </c>
      <c r="I41" s="38">
        <f>'JESTH- 2083'!C340</f>
        <v>15500</v>
      </c>
      <c r="J41" s="40">
        <f>'JESTH- 2083'!D340</f>
        <v>19895</v>
      </c>
    </row>
    <row r="42" spans="2:10" ht="18.75" x14ac:dyDescent="0.3">
      <c r="B42" s="115" t="s">
        <v>186</v>
      </c>
      <c r="C42" s="115"/>
      <c r="D42" s="115"/>
      <c r="E42" s="115"/>
      <c r="G42" s="27" t="s">
        <v>187</v>
      </c>
      <c r="H42" s="29">
        <v>20</v>
      </c>
      <c r="I42" s="38">
        <f>'JESTH- 2083'!C335</f>
        <v>11500</v>
      </c>
      <c r="J42" s="40">
        <f>'JESTH- 2083'!D335</f>
        <v>11615</v>
      </c>
    </row>
    <row r="43" spans="2:10" x14ac:dyDescent="0.25">
      <c r="B43" s="27" t="s">
        <v>60</v>
      </c>
      <c r="C43" s="26">
        <v>1</v>
      </c>
      <c r="D43" s="37">
        <f>'JESTH- 2083'!C275</f>
        <v>850</v>
      </c>
      <c r="E43" s="42">
        <f>'JESTH- 2083'!D275</f>
        <v>1092</v>
      </c>
      <c r="F43" s="30"/>
      <c r="G43" s="27" t="s">
        <v>188</v>
      </c>
      <c r="H43" s="29">
        <v>20</v>
      </c>
      <c r="I43" s="5">
        <f>'JESTH- 2083'!C343</f>
        <v>19000</v>
      </c>
      <c r="J43" s="40">
        <f>'JESTH- 2083'!D343</f>
        <v>23256</v>
      </c>
    </row>
    <row r="44" spans="2:10" x14ac:dyDescent="0.25">
      <c r="B44" s="27" t="s">
        <v>60</v>
      </c>
      <c r="C44" s="26">
        <v>4</v>
      </c>
      <c r="D44" s="37">
        <f>'JESTH- 2083'!C276</f>
        <v>3200</v>
      </c>
      <c r="E44" s="42">
        <f>'JESTH- 2083'!D276</f>
        <v>4229</v>
      </c>
      <c r="F44" s="30"/>
    </row>
    <row r="45" spans="2:10" ht="18.75" x14ac:dyDescent="0.3">
      <c r="B45" s="27"/>
      <c r="C45" s="26"/>
      <c r="D45" s="37"/>
      <c r="E45" s="42"/>
      <c r="F45" s="30"/>
      <c r="G45" s="115" t="s">
        <v>186</v>
      </c>
      <c r="H45" s="115"/>
      <c r="I45" s="115"/>
      <c r="J45" s="115"/>
    </row>
    <row r="46" spans="2:10" x14ac:dyDescent="0.25">
      <c r="B46" s="27" t="s">
        <v>61</v>
      </c>
      <c r="C46" s="26">
        <v>1</v>
      </c>
      <c r="D46" s="37">
        <f>'JESTH- 2083'!C280</f>
        <v>800</v>
      </c>
      <c r="E46" s="42">
        <f>'JESTH- 2083'!D279</f>
        <v>513</v>
      </c>
      <c r="F46" s="30"/>
      <c r="G46" s="27" t="s">
        <v>62</v>
      </c>
      <c r="H46" s="26">
        <v>1</v>
      </c>
      <c r="I46" s="37">
        <f>'JESTH- 2083'!C285</f>
        <v>875</v>
      </c>
      <c r="J46" s="40">
        <f>'JESTH- 2083'!D285</f>
        <v>1079</v>
      </c>
    </row>
    <row r="47" spans="2:10" x14ac:dyDescent="0.25">
      <c r="B47" s="27" t="s">
        <v>61</v>
      </c>
      <c r="C47" s="26">
        <v>4</v>
      </c>
      <c r="D47" s="37">
        <f>'JESTH- 2083'!C281</f>
        <v>3000</v>
      </c>
      <c r="E47" s="42">
        <f>'JESTH- 2083'!D281</f>
        <v>3752</v>
      </c>
      <c r="F47" s="30"/>
      <c r="G47" s="27" t="s">
        <v>62</v>
      </c>
      <c r="H47" s="26">
        <v>4</v>
      </c>
      <c r="I47" s="37">
        <f>'JESTH- 2083'!C286</f>
        <v>3300</v>
      </c>
      <c r="J47" s="40">
        <f>'JESTH- 2083'!D286</f>
        <v>4102</v>
      </c>
    </row>
    <row r="48" spans="2:10" x14ac:dyDescent="0.25">
      <c r="B48" s="28"/>
      <c r="C48" s="10"/>
      <c r="D48" s="35"/>
      <c r="E48" s="35"/>
      <c r="F48" s="30"/>
    </row>
    <row r="49" spans="2:12" ht="18.75" x14ac:dyDescent="0.25">
      <c r="B49" s="28"/>
      <c r="C49" s="10"/>
      <c r="D49" s="35"/>
      <c r="E49" s="35"/>
      <c r="F49" s="30"/>
      <c r="G49" s="33"/>
    </row>
    <row r="50" spans="2:12" ht="15.75" x14ac:dyDescent="0.25">
      <c r="F50" s="30"/>
      <c r="G50" s="32"/>
    </row>
    <row r="51" spans="2:12" ht="26.25" x14ac:dyDescent="0.4">
      <c r="B51" s="113" t="s">
        <v>189</v>
      </c>
      <c r="C51" s="113"/>
      <c r="D51" s="113"/>
      <c r="E51" s="113"/>
      <c r="F51" s="113"/>
      <c r="G51" s="113"/>
      <c r="H51" s="113"/>
      <c r="I51" s="113"/>
    </row>
    <row r="52" spans="2:12" x14ac:dyDescent="0.25">
      <c r="F52" s="30"/>
      <c r="L52" s="31"/>
    </row>
    <row r="53" spans="2:12" x14ac:dyDescent="0.25">
      <c r="F53" s="30"/>
    </row>
  </sheetData>
  <mergeCells count="6">
    <mergeCell ref="B51:I51"/>
    <mergeCell ref="G32:J32"/>
    <mergeCell ref="G45:J45"/>
    <mergeCell ref="B42:E42"/>
    <mergeCell ref="B13:E13"/>
    <mergeCell ref="G13:J13"/>
  </mergeCells>
  <pageMargins left="0.25" right="0.25" top="0.75" bottom="0.75" header="0.3" footer="0.3"/>
  <pageSetup scale="88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6"/>
  <sheetViews>
    <sheetView workbookViewId="0">
      <selection activeCell="G272" sqref="G272"/>
    </sheetView>
  </sheetViews>
  <sheetFormatPr defaultRowHeight="15" x14ac:dyDescent="0.25"/>
  <sheetData>
    <row r="1" spans="1:15" x14ac:dyDescent="0.25">
      <c r="A1" t="s">
        <v>3419</v>
      </c>
      <c r="B1" t="s">
        <v>3420</v>
      </c>
      <c r="C1" t="s">
        <v>3421</v>
      </c>
      <c r="D1" s="111" t="s">
        <v>3422</v>
      </c>
      <c r="E1" s="111" t="s">
        <v>3423</v>
      </c>
      <c r="F1" s="111" t="s">
        <v>3424</v>
      </c>
      <c r="G1" s="111" t="s">
        <v>3425</v>
      </c>
    </row>
    <row r="2" spans="1:15" x14ac:dyDescent="0.25">
      <c r="A2">
        <v>75</v>
      </c>
      <c r="B2">
        <v>17</v>
      </c>
      <c r="C2">
        <f>A2-B2</f>
        <v>58</v>
      </c>
      <c r="D2" s="112">
        <v>0.15</v>
      </c>
      <c r="E2" s="112">
        <v>0.2</v>
      </c>
      <c r="F2" s="112">
        <v>0.4</v>
      </c>
      <c r="G2" s="112">
        <v>0.25</v>
      </c>
    </row>
    <row r="3" spans="1:15" x14ac:dyDescent="0.25">
      <c r="D3">
        <v>5</v>
      </c>
      <c r="E3">
        <v>10</v>
      </c>
      <c r="F3">
        <v>30</v>
      </c>
      <c r="G3">
        <v>13</v>
      </c>
    </row>
    <row r="4" spans="1:15" x14ac:dyDescent="0.25">
      <c r="A4">
        <v>10000</v>
      </c>
      <c r="D4">
        <v>5000</v>
      </c>
      <c r="E4">
        <v>8000</v>
      </c>
      <c r="F4">
        <v>40000</v>
      </c>
      <c r="G4">
        <v>7000</v>
      </c>
      <c r="H4">
        <v>35000</v>
      </c>
    </row>
    <row r="6" spans="1:15" x14ac:dyDescent="0.25">
      <c r="A6" t="s">
        <v>3426</v>
      </c>
      <c r="B6" t="s">
        <v>3428</v>
      </c>
    </row>
    <row r="7" spans="1:15" x14ac:dyDescent="0.25">
      <c r="A7" t="s">
        <v>3427</v>
      </c>
      <c r="B7">
        <v>70.75</v>
      </c>
    </row>
    <row r="13" spans="1:15" x14ac:dyDescent="0.25">
      <c r="O13">
        <f>248+70</f>
        <v>318</v>
      </c>
    </row>
    <row r="16" spans="1:15" x14ac:dyDescent="0.25">
      <c r="L16">
        <f>248+105</f>
        <v>353</v>
      </c>
    </row>
    <row r="21" spans="16:17" x14ac:dyDescent="0.25">
      <c r="P21">
        <f>450-L16</f>
        <v>97</v>
      </c>
    </row>
    <row r="25" spans="16:17" x14ac:dyDescent="0.25">
      <c r="P25">
        <f>75*1.21</f>
        <v>90.75</v>
      </c>
    </row>
    <row r="26" spans="16:17" x14ac:dyDescent="0.25">
      <c r="Q26">
        <f>P25-30</f>
        <v>60.75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3"/>
  <sheetViews>
    <sheetView zoomScaleNormal="100" workbookViewId="0">
      <selection activeCell="I2" sqref="I2"/>
    </sheetView>
  </sheetViews>
  <sheetFormatPr defaultRowHeight="15" x14ac:dyDescent="0.25"/>
  <cols>
    <col min="1" max="1" width="27.85546875" bestFit="1" customWidth="1"/>
    <col min="4" max="4" width="10.5703125" bestFit="1" customWidth="1"/>
  </cols>
  <sheetData>
    <row r="1" spans="1:8" x14ac:dyDescent="0.25">
      <c r="B1" s="45" t="s">
        <v>190</v>
      </c>
      <c r="C1" s="45" t="s">
        <v>2919</v>
      </c>
      <c r="D1" s="45" t="s">
        <v>2918</v>
      </c>
    </row>
    <row r="2" spans="1:8" x14ac:dyDescent="0.25">
      <c r="A2" s="45"/>
      <c r="H2" t="s">
        <v>3372</v>
      </c>
    </row>
    <row r="3" spans="1:8" x14ac:dyDescent="0.25">
      <c r="A3" t="s">
        <v>2921</v>
      </c>
      <c r="B3" t="s">
        <v>191</v>
      </c>
      <c r="C3">
        <v>35</v>
      </c>
      <c r="D3">
        <v>65</v>
      </c>
      <c r="H3" t="s">
        <v>3371</v>
      </c>
    </row>
    <row r="4" spans="1:8" x14ac:dyDescent="0.25">
      <c r="A4" t="s">
        <v>2922</v>
      </c>
      <c r="B4" t="s">
        <v>193</v>
      </c>
      <c r="C4">
        <v>70</v>
      </c>
      <c r="D4">
        <v>130</v>
      </c>
      <c r="H4" t="s">
        <v>3376</v>
      </c>
    </row>
    <row r="5" spans="1:8" x14ac:dyDescent="0.25">
      <c r="A5" t="s">
        <v>2923</v>
      </c>
      <c r="B5" t="s">
        <v>194</v>
      </c>
      <c r="C5">
        <v>105</v>
      </c>
      <c r="D5">
        <v>195</v>
      </c>
      <c r="H5" t="s">
        <v>3373</v>
      </c>
    </row>
    <row r="6" spans="1:8" x14ac:dyDescent="0.25">
      <c r="A6" t="s">
        <v>2924</v>
      </c>
      <c r="B6" t="s">
        <v>195</v>
      </c>
      <c r="C6">
        <v>140</v>
      </c>
      <c r="D6">
        <v>260</v>
      </c>
      <c r="H6" t="s">
        <v>3374</v>
      </c>
    </row>
    <row r="7" spans="1:8" x14ac:dyDescent="0.25">
      <c r="A7" t="s">
        <v>196</v>
      </c>
      <c r="B7" t="s">
        <v>197</v>
      </c>
      <c r="D7">
        <v>450</v>
      </c>
      <c r="H7" t="s">
        <v>3375</v>
      </c>
    </row>
    <row r="8" spans="1:8" x14ac:dyDescent="0.25">
      <c r="A8" t="s">
        <v>196</v>
      </c>
      <c r="B8" t="s">
        <v>198</v>
      </c>
      <c r="D8">
        <v>250</v>
      </c>
      <c r="H8" t="s">
        <v>3377</v>
      </c>
    </row>
    <row r="9" spans="1:8" x14ac:dyDescent="0.25">
      <c r="A9" s="44" t="s">
        <v>199</v>
      </c>
      <c r="B9">
        <v>1</v>
      </c>
      <c r="D9">
        <v>375</v>
      </c>
      <c r="H9" t="s">
        <v>3378</v>
      </c>
    </row>
    <row r="10" spans="1:8" x14ac:dyDescent="0.25">
      <c r="A10" s="44" t="s">
        <v>200</v>
      </c>
      <c r="B10">
        <v>1</v>
      </c>
      <c r="D10">
        <v>10</v>
      </c>
      <c r="H10" t="s">
        <v>3396</v>
      </c>
    </row>
    <row r="11" spans="1:8" x14ac:dyDescent="0.25">
      <c r="A11" t="s">
        <v>201</v>
      </c>
      <c r="B11">
        <v>1</v>
      </c>
      <c r="D11">
        <v>25</v>
      </c>
    </row>
    <row r="12" spans="1:8" x14ac:dyDescent="0.25">
      <c r="A12" t="s">
        <v>202</v>
      </c>
      <c r="B12">
        <v>1</v>
      </c>
      <c r="D12">
        <v>5</v>
      </c>
    </row>
    <row r="13" spans="1:8" x14ac:dyDescent="0.25">
      <c r="A13" t="s">
        <v>203</v>
      </c>
      <c r="B13">
        <v>1</v>
      </c>
      <c r="D13">
        <v>60</v>
      </c>
    </row>
    <row r="14" spans="1:8" x14ac:dyDescent="0.25">
      <c r="A14" t="s">
        <v>204</v>
      </c>
      <c r="B14">
        <v>1</v>
      </c>
      <c r="D14">
        <v>40</v>
      </c>
    </row>
    <row r="15" spans="1:8" x14ac:dyDescent="0.25">
      <c r="A15" t="s">
        <v>205</v>
      </c>
      <c r="B15" t="s">
        <v>206</v>
      </c>
      <c r="D15">
        <v>40</v>
      </c>
    </row>
    <row r="16" spans="1:8" x14ac:dyDescent="0.25">
      <c r="A16" s="44" t="s">
        <v>207</v>
      </c>
      <c r="B16" t="s">
        <v>208</v>
      </c>
      <c r="D16">
        <v>35</v>
      </c>
    </row>
    <row r="17" spans="1:5" x14ac:dyDescent="0.25">
      <c r="A17" s="44" t="s">
        <v>209</v>
      </c>
      <c r="B17" t="s">
        <v>208</v>
      </c>
      <c r="D17">
        <v>35</v>
      </c>
    </row>
    <row r="18" spans="1:5" x14ac:dyDescent="0.25">
      <c r="A18" s="44" t="s">
        <v>210</v>
      </c>
      <c r="B18" t="s">
        <v>211</v>
      </c>
      <c r="D18">
        <v>25</v>
      </c>
      <c r="E18" t="s">
        <v>212</v>
      </c>
    </row>
    <row r="19" spans="1:5" x14ac:dyDescent="0.25">
      <c r="A19" s="44" t="s">
        <v>213</v>
      </c>
      <c r="B19" t="s">
        <v>214</v>
      </c>
      <c r="D19">
        <v>35</v>
      </c>
    </row>
    <row r="20" spans="1:5" x14ac:dyDescent="0.25">
      <c r="A20" s="44" t="s">
        <v>215</v>
      </c>
      <c r="B20" t="s">
        <v>216</v>
      </c>
      <c r="D20">
        <v>75</v>
      </c>
    </row>
    <row r="21" spans="1:5" x14ac:dyDescent="0.25">
      <c r="A21" s="44" t="s">
        <v>217</v>
      </c>
      <c r="B21" t="s">
        <v>218</v>
      </c>
      <c r="D21">
        <v>100</v>
      </c>
    </row>
    <row r="22" spans="1:5" x14ac:dyDescent="0.25">
      <c r="A22" s="44" t="s">
        <v>219</v>
      </c>
      <c r="B22" t="s">
        <v>220</v>
      </c>
      <c r="D22">
        <v>450</v>
      </c>
    </row>
    <row r="23" spans="1:5" x14ac:dyDescent="0.25">
      <c r="A23" s="44" t="s">
        <v>219</v>
      </c>
      <c r="B23" t="s">
        <v>221</v>
      </c>
      <c r="D23">
        <v>100</v>
      </c>
    </row>
    <row r="24" spans="1:5" x14ac:dyDescent="0.25">
      <c r="A24" s="44" t="s">
        <v>222</v>
      </c>
      <c r="B24" t="s">
        <v>206</v>
      </c>
      <c r="D24">
        <v>55</v>
      </c>
    </row>
    <row r="25" spans="1:5" x14ac:dyDescent="0.25">
      <c r="A25" s="44" t="s">
        <v>223</v>
      </c>
      <c r="B25" t="s">
        <v>224</v>
      </c>
      <c r="D25">
        <v>60</v>
      </c>
      <c r="E25" t="s">
        <v>64</v>
      </c>
    </row>
    <row r="26" spans="1:5" x14ac:dyDescent="0.25">
      <c r="A26" s="44" t="s">
        <v>3455</v>
      </c>
      <c r="B26" t="s">
        <v>224</v>
      </c>
      <c r="D26">
        <v>40</v>
      </c>
    </row>
    <row r="27" spans="1:5" x14ac:dyDescent="0.25">
      <c r="A27" s="44" t="s">
        <v>226</v>
      </c>
      <c r="B27" t="s">
        <v>221</v>
      </c>
      <c r="D27">
        <v>180</v>
      </c>
    </row>
    <row r="28" spans="1:5" x14ac:dyDescent="0.25">
      <c r="A28" s="44" t="s">
        <v>227</v>
      </c>
      <c r="B28">
        <v>1</v>
      </c>
      <c r="D28">
        <v>60</v>
      </c>
    </row>
    <row r="29" spans="1:5" x14ac:dyDescent="0.25">
      <c r="A29" s="44" t="s">
        <v>228</v>
      </c>
      <c r="B29" t="s">
        <v>221</v>
      </c>
      <c r="C29">
        <v>2125</v>
      </c>
      <c r="D29">
        <v>2400</v>
      </c>
    </row>
    <row r="30" spans="1:5" x14ac:dyDescent="0.25">
      <c r="A30" s="44" t="s">
        <v>229</v>
      </c>
      <c r="B30" t="s">
        <v>221</v>
      </c>
      <c r="D30">
        <v>1650</v>
      </c>
    </row>
    <row r="31" spans="1:5" x14ac:dyDescent="0.25">
      <c r="A31" s="44" t="s">
        <v>230</v>
      </c>
      <c r="B31" t="s">
        <v>221</v>
      </c>
      <c r="D31">
        <v>1500</v>
      </c>
    </row>
    <row r="32" spans="1:5" x14ac:dyDescent="0.25">
      <c r="A32" t="s">
        <v>3398</v>
      </c>
      <c r="B32">
        <v>1</v>
      </c>
      <c r="C32">
        <v>70</v>
      </c>
      <c r="D32">
        <v>150</v>
      </c>
    </row>
    <row r="33" spans="1:16" x14ac:dyDescent="0.25">
      <c r="A33" t="s">
        <v>3399</v>
      </c>
      <c r="B33">
        <v>1</v>
      </c>
      <c r="C33">
        <v>70</v>
      </c>
      <c r="D33">
        <v>125</v>
      </c>
    </row>
    <row r="35" spans="1:16" x14ac:dyDescent="0.25">
      <c r="A35" t="s">
        <v>234</v>
      </c>
      <c r="B35" t="s">
        <v>235</v>
      </c>
      <c r="D35">
        <v>1200</v>
      </c>
      <c r="P35" s="102"/>
    </row>
    <row r="36" spans="1:16" x14ac:dyDescent="0.25">
      <c r="A36" t="s">
        <v>236</v>
      </c>
      <c r="B36" t="s">
        <v>237</v>
      </c>
      <c r="D36">
        <v>600</v>
      </c>
    </row>
    <row r="37" spans="1:16" x14ac:dyDescent="0.25">
      <c r="A37" t="s">
        <v>236</v>
      </c>
      <c r="B37" t="s">
        <v>238</v>
      </c>
      <c r="D37">
        <v>325</v>
      </c>
    </row>
    <row r="38" spans="1:16" x14ac:dyDescent="0.25">
      <c r="A38" t="s">
        <v>239</v>
      </c>
      <c r="B38" t="s">
        <v>206</v>
      </c>
      <c r="D38">
        <v>1600</v>
      </c>
      <c r="P38" s="102"/>
    </row>
    <row r="39" spans="1:16" x14ac:dyDescent="0.25">
      <c r="A39" t="s">
        <v>240</v>
      </c>
      <c r="B39" t="s">
        <v>241</v>
      </c>
      <c r="D39">
        <v>150</v>
      </c>
    </row>
    <row r="40" spans="1:16" x14ac:dyDescent="0.25">
      <c r="A40" t="s">
        <v>3368</v>
      </c>
      <c r="B40" t="s">
        <v>242</v>
      </c>
      <c r="C40">
        <v>625</v>
      </c>
      <c r="D40">
        <v>700</v>
      </c>
    </row>
    <row r="41" spans="1:16" x14ac:dyDescent="0.25">
      <c r="A41" t="s">
        <v>3367</v>
      </c>
      <c r="B41" t="s">
        <v>221</v>
      </c>
      <c r="C41">
        <v>800</v>
      </c>
      <c r="D41">
        <v>1000</v>
      </c>
    </row>
    <row r="42" spans="1:16" x14ac:dyDescent="0.25">
      <c r="A42" t="s">
        <v>243</v>
      </c>
      <c r="B42" t="s">
        <v>244</v>
      </c>
      <c r="C42">
        <v>250</v>
      </c>
      <c r="D42">
        <v>400</v>
      </c>
    </row>
    <row r="43" spans="1:16" x14ac:dyDescent="0.25">
      <c r="A43" t="s">
        <v>243</v>
      </c>
      <c r="B43" t="s">
        <v>245</v>
      </c>
      <c r="C43">
        <v>450</v>
      </c>
      <c r="D43">
        <v>750</v>
      </c>
    </row>
    <row r="44" spans="1:16" x14ac:dyDescent="0.25">
      <c r="A44" t="s">
        <v>243</v>
      </c>
      <c r="B44" t="s">
        <v>246</v>
      </c>
      <c r="C44">
        <v>1100</v>
      </c>
      <c r="D44">
        <v>1700</v>
      </c>
    </row>
    <row r="45" spans="1:16" x14ac:dyDescent="0.25">
      <c r="A45" t="s">
        <v>243</v>
      </c>
      <c r="B45" t="s">
        <v>221</v>
      </c>
      <c r="C45">
        <v>2200</v>
      </c>
      <c r="D45">
        <v>3200</v>
      </c>
    </row>
    <row r="46" spans="1:16" x14ac:dyDescent="0.25">
      <c r="A46" t="s">
        <v>247</v>
      </c>
      <c r="B46" t="s">
        <v>206</v>
      </c>
      <c r="D46">
        <v>40</v>
      </c>
      <c r="E46" t="s">
        <v>3465</v>
      </c>
    </row>
    <row r="47" spans="1:16" x14ac:dyDescent="0.25">
      <c r="A47" t="s">
        <v>248</v>
      </c>
      <c r="B47">
        <v>1</v>
      </c>
      <c r="D47">
        <v>3200</v>
      </c>
    </row>
    <row r="48" spans="1:16" x14ac:dyDescent="0.25">
      <c r="A48" t="s">
        <v>249</v>
      </c>
      <c r="B48">
        <v>1</v>
      </c>
      <c r="D48">
        <v>1700</v>
      </c>
    </row>
    <row r="49" spans="1:4" x14ac:dyDescent="0.25">
      <c r="A49" t="s">
        <v>250</v>
      </c>
      <c r="B49" t="s">
        <v>244</v>
      </c>
      <c r="D49">
        <v>375</v>
      </c>
    </row>
    <row r="50" spans="1:4" x14ac:dyDescent="0.25">
      <c r="A50" t="s">
        <v>250</v>
      </c>
      <c r="B50">
        <v>200</v>
      </c>
      <c r="D50">
        <v>700</v>
      </c>
    </row>
    <row r="51" spans="1:4" x14ac:dyDescent="0.25">
      <c r="A51" t="s">
        <v>251</v>
      </c>
      <c r="B51">
        <v>1</v>
      </c>
      <c r="D51">
        <v>250</v>
      </c>
    </row>
    <row r="52" spans="1:4" x14ac:dyDescent="0.25">
      <c r="A52" t="s">
        <v>252</v>
      </c>
      <c r="B52" t="s">
        <v>206</v>
      </c>
      <c r="D52">
        <v>150</v>
      </c>
    </row>
    <row r="53" spans="1:4" x14ac:dyDescent="0.25">
      <c r="A53" t="s">
        <v>3361</v>
      </c>
      <c r="B53">
        <v>1</v>
      </c>
      <c r="D53">
        <v>350</v>
      </c>
    </row>
    <row r="54" spans="1:4" x14ac:dyDescent="0.25">
      <c r="A54" t="s">
        <v>253</v>
      </c>
      <c r="B54">
        <v>1</v>
      </c>
      <c r="D54">
        <v>100</v>
      </c>
    </row>
    <row r="55" spans="1:4" x14ac:dyDescent="0.25">
      <c r="A55" t="s">
        <v>254</v>
      </c>
      <c r="B55">
        <v>1</v>
      </c>
      <c r="D55">
        <v>450</v>
      </c>
    </row>
    <row r="56" spans="1:4" x14ac:dyDescent="0.25">
      <c r="A56" t="s">
        <v>254</v>
      </c>
      <c r="B56">
        <v>0.5</v>
      </c>
      <c r="D56">
        <v>250</v>
      </c>
    </row>
    <row r="57" spans="1:4" x14ac:dyDescent="0.25">
      <c r="A57" t="s">
        <v>240</v>
      </c>
      <c r="B57" t="s">
        <v>241</v>
      </c>
      <c r="C57">
        <v>125</v>
      </c>
      <c r="D57">
        <v>150</v>
      </c>
    </row>
    <row r="58" spans="1:4" x14ac:dyDescent="0.25">
      <c r="A58" t="s">
        <v>240</v>
      </c>
      <c r="B58" t="s">
        <v>255</v>
      </c>
      <c r="C58">
        <v>200</v>
      </c>
      <c r="D58">
        <v>250</v>
      </c>
    </row>
    <row r="59" spans="1:4" x14ac:dyDescent="0.25">
      <c r="A59" t="s">
        <v>240</v>
      </c>
      <c r="B59" t="s">
        <v>206</v>
      </c>
      <c r="C59">
        <v>375</v>
      </c>
      <c r="D59">
        <v>450</v>
      </c>
    </row>
    <row r="60" spans="1:4" x14ac:dyDescent="0.25">
      <c r="A60" t="s">
        <v>256</v>
      </c>
      <c r="B60">
        <v>1</v>
      </c>
      <c r="C60">
        <v>960</v>
      </c>
      <c r="D60">
        <v>1000</v>
      </c>
    </row>
    <row r="61" spans="1:4" x14ac:dyDescent="0.25">
      <c r="A61" t="s">
        <v>257</v>
      </c>
      <c r="B61">
        <v>1</v>
      </c>
      <c r="D61">
        <v>1050</v>
      </c>
    </row>
    <row r="62" spans="1:4" x14ac:dyDescent="0.25">
      <c r="A62" t="s">
        <v>258</v>
      </c>
      <c r="B62">
        <v>1</v>
      </c>
      <c r="D62">
        <v>900</v>
      </c>
    </row>
    <row r="63" spans="1:4" x14ac:dyDescent="0.25">
      <c r="A63" t="s">
        <v>259</v>
      </c>
      <c r="B63">
        <v>1</v>
      </c>
      <c r="C63">
        <v>500</v>
      </c>
      <c r="D63">
        <v>600</v>
      </c>
    </row>
    <row r="64" spans="1:4" x14ac:dyDescent="0.25">
      <c r="A64" t="s">
        <v>260</v>
      </c>
      <c r="B64">
        <v>1</v>
      </c>
      <c r="D64">
        <v>550</v>
      </c>
    </row>
    <row r="65" spans="1:4" x14ac:dyDescent="0.25">
      <c r="A65" t="s">
        <v>261</v>
      </c>
      <c r="B65">
        <v>1</v>
      </c>
      <c r="D65">
        <v>600</v>
      </c>
    </row>
    <row r="66" spans="1:4" x14ac:dyDescent="0.25">
      <c r="A66" t="s">
        <v>262</v>
      </c>
      <c r="B66" t="s">
        <v>244</v>
      </c>
      <c r="D66">
        <v>175</v>
      </c>
    </row>
    <row r="67" spans="1:4" x14ac:dyDescent="0.25">
      <c r="A67" t="s">
        <v>263</v>
      </c>
      <c r="B67" t="s">
        <v>244</v>
      </c>
      <c r="D67">
        <v>150</v>
      </c>
    </row>
    <row r="68" spans="1:4" x14ac:dyDescent="0.25">
      <c r="A68" t="s">
        <v>264</v>
      </c>
      <c r="B68" t="s">
        <v>244</v>
      </c>
      <c r="D68">
        <v>400</v>
      </c>
    </row>
    <row r="69" spans="1:4" x14ac:dyDescent="0.25">
      <c r="A69" t="s">
        <v>264</v>
      </c>
      <c r="B69" t="s">
        <v>265</v>
      </c>
      <c r="D69">
        <v>225</v>
      </c>
    </row>
    <row r="70" spans="1:4" x14ac:dyDescent="0.25">
      <c r="A70" t="s">
        <v>266</v>
      </c>
      <c r="B70" t="s">
        <v>265</v>
      </c>
      <c r="D70">
        <v>225</v>
      </c>
    </row>
    <row r="71" spans="1:4" x14ac:dyDescent="0.25">
      <c r="A71" t="s">
        <v>267</v>
      </c>
      <c r="B71" t="s">
        <v>268</v>
      </c>
      <c r="D71">
        <v>1350</v>
      </c>
    </row>
    <row r="72" spans="1:4" x14ac:dyDescent="0.25">
      <c r="A72" t="s">
        <v>267</v>
      </c>
      <c r="B72">
        <v>1</v>
      </c>
      <c r="D72">
        <v>4000</v>
      </c>
    </row>
    <row r="73" spans="1:4" x14ac:dyDescent="0.25">
      <c r="A73" t="s">
        <v>269</v>
      </c>
      <c r="B73">
        <v>0.875</v>
      </c>
      <c r="D73">
        <v>1000</v>
      </c>
    </row>
    <row r="74" spans="1:4" x14ac:dyDescent="0.25">
      <c r="A74" t="s">
        <v>269</v>
      </c>
      <c r="B74">
        <v>3.5</v>
      </c>
      <c r="D74">
        <v>3900</v>
      </c>
    </row>
    <row r="75" spans="1:4" x14ac:dyDescent="0.25">
      <c r="A75" t="s">
        <v>270</v>
      </c>
      <c r="B75">
        <v>1</v>
      </c>
      <c r="C75">
        <v>450</v>
      </c>
      <c r="D75">
        <v>550</v>
      </c>
    </row>
    <row r="76" spans="1:4" x14ac:dyDescent="0.25">
      <c r="A76" t="s">
        <v>271</v>
      </c>
      <c r="B76">
        <v>1</v>
      </c>
      <c r="D76">
        <v>150</v>
      </c>
    </row>
    <row r="77" spans="1:4" x14ac:dyDescent="0.25">
      <c r="A77" t="s">
        <v>272</v>
      </c>
      <c r="B77">
        <v>1</v>
      </c>
      <c r="D77">
        <v>35</v>
      </c>
    </row>
    <row r="78" spans="1:4" x14ac:dyDescent="0.25">
      <c r="A78" t="s">
        <v>273</v>
      </c>
      <c r="B78">
        <v>1</v>
      </c>
      <c r="D78">
        <v>75</v>
      </c>
    </row>
    <row r="79" spans="1:4" x14ac:dyDescent="0.25">
      <c r="A79" t="s">
        <v>274</v>
      </c>
      <c r="B79">
        <v>1</v>
      </c>
      <c r="D79">
        <v>90</v>
      </c>
    </row>
    <row r="80" spans="1:4" x14ac:dyDescent="0.25">
      <c r="A80" t="s">
        <v>275</v>
      </c>
      <c r="B80">
        <v>1</v>
      </c>
      <c r="D80">
        <v>8</v>
      </c>
    </row>
    <row r="81" spans="1:4" x14ac:dyDescent="0.25">
      <c r="A81" t="s">
        <v>276</v>
      </c>
      <c r="B81" t="s">
        <v>277</v>
      </c>
      <c r="C81">
        <v>70</v>
      </c>
      <c r="D81">
        <v>90</v>
      </c>
    </row>
    <row r="82" spans="1:4" x14ac:dyDescent="0.25">
      <c r="A82" t="s">
        <v>278</v>
      </c>
      <c r="B82">
        <v>1</v>
      </c>
      <c r="D82">
        <v>650</v>
      </c>
    </row>
    <row r="83" spans="1:4" x14ac:dyDescent="0.25">
      <c r="A83" t="s">
        <v>279</v>
      </c>
      <c r="B83" t="s">
        <v>246</v>
      </c>
      <c r="D83">
        <v>250</v>
      </c>
    </row>
    <row r="84" spans="1:4" x14ac:dyDescent="0.25">
      <c r="A84" t="s">
        <v>279</v>
      </c>
      <c r="B84">
        <v>1</v>
      </c>
      <c r="D84">
        <v>450</v>
      </c>
    </row>
    <row r="85" spans="1:4" x14ac:dyDescent="0.25">
      <c r="A85" t="s">
        <v>280</v>
      </c>
      <c r="B85" t="s">
        <v>246</v>
      </c>
      <c r="C85">
        <v>210</v>
      </c>
      <c r="D85">
        <v>300</v>
      </c>
    </row>
    <row r="86" spans="1:4" x14ac:dyDescent="0.25">
      <c r="A86" t="s">
        <v>280</v>
      </c>
      <c r="B86">
        <v>1</v>
      </c>
      <c r="C86">
        <v>390</v>
      </c>
      <c r="D86">
        <v>550</v>
      </c>
    </row>
    <row r="87" spans="1:4" x14ac:dyDescent="0.25">
      <c r="A87" t="s">
        <v>281</v>
      </c>
      <c r="B87" t="s">
        <v>197</v>
      </c>
      <c r="D87">
        <v>500</v>
      </c>
    </row>
    <row r="88" spans="1:4" x14ac:dyDescent="0.25">
      <c r="A88" t="s">
        <v>282</v>
      </c>
      <c r="B88" t="s">
        <v>197</v>
      </c>
      <c r="D88">
        <v>500</v>
      </c>
    </row>
    <row r="89" spans="1:4" x14ac:dyDescent="0.25">
      <c r="A89" t="s">
        <v>283</v>
      </c>
      <c r="B89" t="s">
        <v>197</v>
      </c>
      <c r="D89">
        <v>500</v>
      </c>
    </row>
    <row r="90" spans="1:4" x14ac:dyDescent="0.25">
      <c r="A90" t="s">
        <v>267</v>
      </c>
      <c r="B90" t="s">
        <v>284</v>
      </c>
      <c r="D90">
        <v>750</v>
      </c>
    </row>
    <row r="91" spans="1:4" x14ac:dyDescent="0.25">
      <c r="A91" t="s">
        <v>267</v>
      </c>
      <c r="B91" t="s">
        <v>244</v>
      </c>
      <c r="D91">
        <v>550</v>
      </c>
    </row>
    <row r="92" spans="1:4" x14ac:dyDescent="0.25">
      <c r="A92" t="s">
        <v>285</v>
      </c>
      <c r="B92">
        <v>1</v>
      </c>
      <c r="D92">
        <v>1950</v>
      </c>
    </row>
    <row r="93" spans="1:4" x14ac:dyDescent="0.25">
      <c r="A93" t="s">
        <v>286</v>
      </c>
      <c r="B93">
        <v>1</v>
      </c>
      <c r="D93">
        <v>125</v>
      </c>
    </row>
    <row r="94" spans="1:4" x14ac:dyDescent="0.25">
      <c r="A94" t="s">
        <v>287</v>
      </c>
      <c r="B94">
        <v>1</v>
      </c>
      <c r="D94">
        <v>250</v>
      </c>
    </row>
    <row r="95" spans="1:4" x14ac:dyDescent="0.25">
      <c r="A95" t="s">
        <v>288</v>
      </c>
      <c r="B95">
        <v>1</v>
      </c>
      <c r="D95">
        <v>750</v>
      </c>
    </row>
    <row r="96" spans="1:4" x14ac:dyDescent="0.25">
      <c r="A96" t="s">
        <v>289</v>
      </c>
      <c r="B96">
        <v>200</v>
      </c>
      <c r="D96">
        <v>750</v>
      </c>
    </row>
    <row r="97" spans="1:4" x14ac:dyDescent="0.25">
      <c r="A97" t="s">
        <v>289</v>
      </c>
      <c r="B97">
        <v>100</v>
      </c>
      <c r="D97">
        <v>400</v>
      </c>
    </row>
    <row r="98" spans="1:4" x14ac:dyDescent="0.25">
      <c r="A98" t="s">
        <v>289</v>
      </c>
      <c r="B98">
        <v>500</v>
      </c>
      <c r="C98">
        <v>1450</v>
      </c>
      <c r="D98">
        <v>1700</v>
      </c>
    </row>
    <row r="99" spans="1:4" x14ac:dyDescent="0.25">
      <c r="A99" t="s">
        <v>3394</v>
      </c>
      <c r="B99">
        <v>1</v>
      </c>
      <c r="D99">
        <v>700</v>
      </c>
    </row>
    <row r="100" spans="1:4" x14ac:dyDescent="0.25">
      <c r="A100" t="s">
        <v>3430</v>
      </c>
      <c r="B100" t="s">
        <v>197</v>
      </c>
      <c r="D100">
        <v>150</v>
      </c>
    </row>
    <row r="101" spans="1:4" x14ac:dyDescent="0.25">
      <c r="A101" t="s">
        <v>290</v>
      </c>
      <c r="B101">
        <v>1</v>
      </c>
      <c r="C101">
        <v>395</v>
      </c>
      <c r="D101">
        <v>550</v>
      </c>
    </row>
    <row r="102" spans="1:4" x14ac:dyDescent="0.25">
      <c r="A102" t="s">
        <v>290</v>
      </c>
      <c r="B102">
        <v>0.5</v>
      </c>
      <c r="C102">
        <v>245</v>
      </c>
      <c r="D102">
        <v>300</v>
      </c>
    </row>
    <row r="103" spans="1:4" x14ac:dyDescent="0.25">
      <c r="A103" t="s">
        <v>291</v>
      </c>
      <c r="B103" t="s">
        <v>220</v>
      </c>
      <c r="C103">
        <v>29843</v>
      </c>
      <c r="D103">
        <v>3500</v>
      </c>
    </row>
    <row r="104" spans="1:4" x14ac:dyDescent="0.25">
      <c r="A104" t="s">
        <v>291</v>
      </c>
      <c r="B104" t="s">
        <v>221</v>
      </c>
      <c r="C104">
        <v>634</v>
      </c>
      <c r="D104">
        <v>750</v>
      </c>
    </row>
    <row r="105" spans="1:4" x14ac:dyDescent="0.25">
      <c r="A105" t="s">
        <v>292</v>
      </c>
      <c r="B105" t="s">
        <v>221</v>
      </c>
      <c r="D105">
        <v>950</v>
      </c>
    </row>
    <row r="106" spans="1:4" x14ac:dyDescent="0.25">
      <c r="A106" t="s">
        <v>293</v>
      </c>
      <c r="B106" t="s">
        <v>221</v>
      </c>
      <c r="D106">
        <v>1250</v>
      </c>
    </row>
    <row r="107" spans="1:4" x14ac:dyDescent="0.25">
      <c r="A107" t="s">
        <v>293</v>
      </c>
      <c r="B107" t="s">
        <v>294</v>
      </c>
      <c r="D107">
        <v>4900</v>
      </c>
    </row>
    <row r="108" spans="1:4" x14ac:dyDescent="0.25">
      <c r="A108" t="s">
        <v>295</v>
      </c>
      <c r="B108" t="s">
        <v>296</v>
      </c>
      <c r="D108">
        <v>850</v>
      </c>
    </row>
    <row r="109" spans="1:4" x14ac:dyDescent="0.25">
      <c r="A109" t="s">
        <v>295</v>
      </c>
      <c r="B109" t="s">
        <v>297</v>
      </c>
      <c r="D109">
        <v>450</v>
      </c>
    </row>
    <row r="110" spans="1:4" x14ac:dyDescent="0.25">
      <c r="A110" t="s">
        <v>295</v>
      </c>
      <c r="B110" t="s">
        <v>298</v>
      </c>
      <c r="D110">
        <v>250</v>
      </c>
    </row>
    <row r="111" spans="1:4" x14ac:dyDescent="0.25">
      <c r="A111" t="s">
        <v>299</v>
      </c>
      <c r="B111" t="s">
        <v>2920</v>
      </c>
      <c r="D111">
        <v>250</v>
      </c>
    </row>
    <row r="113" spans="1:4" x14ac:dyDescent="0.25">
      <c r="A113" t="s">
        <v>2909</v>
      </c>
      <c r="B113" t="s">
        <v>2913</v>
      </c>
      <c r="C113">
        <v>16</v>
      </c>
      <c r="D113">
        <v>25</v>
      </c>
    </row>
    <row r="114" spans="1:4" x14ac:dyDescent="0.25">
      <c r="A114" t="s">
        <v>2910</v>
      </c>
      <c r="B114" t="s">
        <v>2913</v>
      </c>
      <c r="C114">
        <v>16</v>
      </c>
      <c r="D114">
        <v>25</v>
      </c>
    </row>
    <row r="115" spans="1:4" x14ac:dyDescent="0.25">
      <c r="A115" t="s">
        <v>2911</v>
      </c>
      <c r="B115" t="s">
        <v>2913</v>
      </c>
      <c r="C115">
        <v>16</v>
      </c>
      <c r="D115">
        <v>25</v>
      </c>
    </row>
    <row r="116" spans="1:4" x14ac:dyDescent="0.25">
      <c r="A116" t="s">
        <v>2912</v>
      </c>
      <c r="B116" t="s">
        <v>2913</v>
      </c>
      <c r="C116">
        <v>16</v>
      </c>
      <c r="D116">
        <v>25</v>
      </c>
    </row>
    <row r="118" spans="1:4" x14ac:dyDescent="0.25">
      <c r="A118" t="s">
        <v>2915</v>
      </c>
      <c r="B118" t="s">
        <v>2913</v>
      </c>
      <c r="C118">
        <v>22</v>
      </c>
      <c r="D118">
        <v>30</v>
      </c>
    </row>
    <row r="119" spans="1:4" x14ac:dyDescent="0.25">
      <c r="A119" t="s">
        <v>2914</v>
      </c>
      <c r="B119" t="s">
        <v>2913</v>
      </c>
      <c r="C119">
        <v>22</v>
      </c>
      <c r="D119">
        <v>30</v>
      </c>
    </row>
    <row r="120" spans="1:4" x14ac:dyDescent="0.25">
      <c r="A120" t="s">
        <v>2916</v>
      </c>
      <c r="B120" t="s">
        <v>2913</v>
      </c>
      <c r="C120">
        <v>22</v>
      </c>
      <c r="D120">
        <v>30</v>
      </c>
    </row>
    <row r="121" spans="1:4" x14ac:dyDescent="0.25">
      <c r="A121" t="s">
        <v>2917</v>
      </c>
      <c r="B121" t="s">
        <v>2913</v>
      </c>
      <c r="C121">
        <v>22</v>
      </c>
      <c r="D121">
        <v>30</v>
      </c>
    </row>
    <row r="123" spans="1:4" x14ac:dyDescent="0.25">
      <c r="A123" t="s">
        <v>3400</v>
      </c>
      <c r="B123" t="s">
        <v>2920</v>
      </c>
      <c r="C123">
        <v>70</v>
      </c>
      <c r="D123">
        <v>150</v>
      </c>
    </row>
    <row r="124" spans="1:4" x14ac:dyDescent="0.25">
      <c r="A124" t="s">
        <v>1396</v>
      </c>
      <c r="B124" t="s">
        <v>2920</v>
      </c>
      <c r="C124">
        <v>250</v>
      </c>
      <c r="D124">
        <v>400</v>
      </c>
    </row>
    <row r="126" spans="1:4" x14ac:dyDescent="0.25">
      <c r="A126" t="s">
        <v>243</v>
      </c>
      <c r="B126" t="s">
        <v>759</v>
      </c>
      <c r="C126">
        <v>150</v>
      </c>
      <c r="D126">
        <v>225</v>
      </c>
    </row>
    <row r="130" spans="1:4" x14ac:dyDescent="0.25">
      <c r="A130" t="s">
        <v>3362</v>
      </c>
      <c r="B130" t="s">
        <v>297</v>
      </c>
      <c r="D130">
        <v>425</v>
      </c>
    </row>
    <row r="131" spans="1:4" x14ac:dyDescent="0.25">
      <c r="A131" t="s">
        <v>3362</v>
      </c>
      <c r="B131" t="s">
        <v>296</v>
      </c>
      <c r="D131">
        <v>750</v>
      </c>
    </row>
    <row r="133" spans="1:4" x14ac:dyDescent="0.25">
      <c r="A133" t="s">
        <v>3417</v>
      </c>
      <c r="B133" t="s">
        <v>296</v>
      </c>
      <c r="C133">
        <v>700</v>
      </c>
      <c r="D133">
        <v>900</v>
      </c>
    </row>
    <row r="134" spans="1:4" x14ac:dyDescent="0.25">
      <c r="A134" t="s">
        <v>3417</v>
      </c>
      <c r="B134" t="s">
        <v>297</v>
      </c>
      <c r="C134">
        <v>375</v>
      </c>
      <c r="D134">
        <v>475</v>
      </c>
    </row>
    <row r="135" spans="1:4" x14ac:dyDescent="0.25">
      <c r="A135" t="s">
        <v>3369</v>
      </c>
      <c r="B135" t="s">
        <v>296</v>
      </c>
      <c r="C135">
        <v>400</v>
      </c>
      <c r="D135">
        <v>450</v>
      </c>
    </row>
    <row r="136" spans="1:4" x14ac:dyDescent="0.25">
      <c r="A136" t="s">
        <v>3363</v>
      </c>
      <c r="B136" t="s">
        <v>296</v>
      </c>
      <c r="C136">
        <v>1250</v>
      </c>
      <c r="D136">
        <v>1550</v>
      </c>
    </row>
    <row r="137" spans="1:4" x14ac:dyDescent="0.25">
      <c r="A137" t="s">
        <v>3370</v>
      </c>
      <c r="B137" t="s">
        <v>296</v>
      </c>
      <c r="C137">
        <v>1500</v>
      </c>
      <c r="D137">
        <v>1800</v>
      </c>
    </row>
    <row r="138" spans="1:4" x14ac:dyDescent="0.25">
      <c r="A138" t="s">
        <v>3364</v>
      </c>
      <c r="B138" t="s">
        <v>297</v>
      </c>
      <c r="C138">
        <v>350</v>
      </c>
      <c r="D138">
        <v>425</v>
      </c>
    </row>
    <row r="139" spans="1:4" x14ac:dyDescent="0.25">
      <c r="A139" t="s">
        <v>3364</v>
      </c>
      <c r="B139" t="s">
        <v>296</v>
      </c>
      <c r="C139">
        <v>750</v>
      </c>
      <c r="D139">
        <v>900</v>
      </c>
    </row>
    <row r="140" spans="1:4" x14ac:dyDescent="0.25">
      <c r="A140" t="s">
        <v>3365</v>
      </c>
      <c r="B140" t="s">
        <v>296</v>
      </c>
      <c r="C140">
        <v>750</v>
      </c>
      <c r="D140">
        <v>900</v>
      </c>
    </row>
    <row r="141" spans="1:4" x14ac:dyDescent="0.25">
      <c r="A141" t="s">
        <v>3366</v>
      </c>
      <c r="B141" t="s">
        <v>296</v>
      </c>
      <c r="C141">
        <v>800</v>
      </c>
      <c r="D141">
        <v>1000</v>
      </c>
    </row>
    <row r="143" spans="1:4" x14ac:dyDescent="0.25">
      <c r="A143" t="s">
        <v>3391</v>
      </c>
      <c r="B143" t="s">
        <v>296</v>
      </c>
      <c r="C143">
        <v>500</v>
      </c>
      <c r="D143">
        <v>600</v>
      </c>
    </row>
    <row r="144" spans="1:4" x14ac:dyDescent="0.25">
      <c r="A144" t="s">
        <v>3391</v>
      </c>
      <c r="B144" t="s">
        <v>297</v>
      </c>
      <c r="C144">
        <v>275</v>
      </c>
      <c r="D144">
        <v>325</v>
      </c>
    </row>
    <row r="146" spans="1:4" x14ac:dyDescent="0.25">
      <c r="A146" t="s">
        <v>231</v>
      </c>
      <c r="B146" t="s">
        <v>296</v>
      </c>
      <c r="C146">
        <v>425</v>
      </c>
      <c r="D146">
        <v>500</v>
      </c>
    </row>
    <row r="147" spans="1:4" x14ac:dyDescent="0.25">
      <c r="A147" t="s">
        <v>232</v>
      </c>
      <c r="B147" t="s">
        <v>296</v>
      </c>
      <c r="C147">
        <v>750</v>
      </c>
      <c r="D147">
        <v>900</v>
      </c>
    </row>
    <row r="148" spans="1:4" x14ac:dyDescent="0.25">
      <c r="A148" t="s">
        <v>233</v>
      </c>
      <c r="B148" t="s">
        <v>296</v>
      </c>
      <c r="C148">
        <v>850</v>
      </c>
      <c r="D148">
        <v>1000</v>
      </c>
    </row>
    <row r="150" spans="1:4" x14ac:dyDescent="0.25">
      <c r="A150" t="s">
        <v>3410</v>
      </c>
      <c r="B150" t="s">
        <v>3411</v>
      </c>
      <c r="C150">
        <v>216</v>
      </c>
      <c r="D150">
        <v>250</v>
      </c>
    </row>
    <row r="151" spans="1:4" x14ac:dyDescent="0.25">
      <c r="A151" t="s">
        <v>3412</v>
      </c>
      <c r="B151" t="s">
        <v>3411</v>
      </c>
      <c r="C151">
        <v>170</v>
      </c>
      <c r="D151">
        <v>200</v>
      </c>
    </row>
    <row r="152" spans="1:4" x14ac:dyDescent="0.25">
      <c r="A152" t="s">
        <v>3414</v>
      </c>
      <c r="B152" t="s">
        <v>3411</v>
      </c>
      <c r="C152">
        <v>90</v>
      </c>
      <c r="D152">
        <v>125</v>
      </c>
    </row>
    <row r="153" spans="1:4" x14ac:dyDescent="0.25">
      <c r="A153" t="s">
        <v>3413</v>
      </c>
      <c r="B153" t="s">
        <v>3411</v>
      </c>
      <c r="C153">
        <v>80</v>
      </c>
      <c r="D153">
        <v>100</v>
      </c>
    </row>
    <row r="154" spans="1:4" x14ac:dyDescent="0.25">
      <c r="A154" t="s">
        <v>3415</v>
      </c>
      <c r="B154" t="s">
        <v>3411</v>
      </c>
      <c r="C154">
        <v>48</v>
      </c>
      <c r="D154">
        <v>75</v>
      </c>
    </row>
    <row r="155" spans="1:4" x14ac:dyDescent="0.25">
      <c r="A155" t="s">
        <v>3416</v>
      </c>
      <c r="B155" t="s">
        <v>3411</v>
      </c>
      <c r="C155">
        <v>35</v>
      </c>
      <c r="D155">
        <v>65</v>
      </c>
    </row>
    <row r="157" spans="1:4" x14ac:dyDescent="0.25">
      <c r="A157" t="s">
        <v>280</v>
      </c>
      <c r="B157" t="s">
        <v>246</v>
      </c>
      <c r="C157">
        <v>245</v>
      </c>
      <c r="D157">
        <v>300</v>
      </c>
    </row>
    <row r="158" spans="1:4" x14ac:dyDescent="0.25">
      <c r="A158" t="s">
        <v>280</v>
      </c>
      <c r="B158" t="s">
        <v>296</v>
      </c>
      <c r="C158">
        <v>395</v>
      </c>
      <c r="D158">
        <v>550</v>
      </c>
    </row>
    <row r="160" spans="1:4" x14ac:dyDescent="0.25">
      <c r="A160" t="s">
        <v>3429</v>
      </c>
      <c r="B160">
        <v>1</v>
      </c>
      <c r="C160" t="s">
        <v>3461</v>
      </c>
      <c r="D160">
        <v>100</v>
      </c>
    </row>
    <row r="161" spans="1:4" x14ac:dyDescent="0.25">
      <c r="A161" t="s">
        <v>3458</v>
      </c>
      <c r="B161">
        <v>1</v>
      </c>
      <c r="C161" t="s">
        <v>3462</v>
      </c>
      <c r="D161">
        <v>150</v>
      </c>
    </row>
    <row r="162" spans="1:4" x14ac:dyDescent="0.25">
      <c r="A162" t="s">
        <v>3459</v>
      </c>
      <c r="B162">
        <v>1</v>
      </c>
      <c r="C162" t="s">
        <v>3463</v>
      </c>
      <c r="D162">
        <v>200</v>
      </c>
    </row>
    <row r="163" spans="1:4" x14ac:dyDescent="0.25">
      <c r="A163" t="s">
        <v>3429</v>
      </c>
      <c r="B163">
        <v>1</v>
      </c>
      <c r="C163" t="s">
        <v>3460</v>
      </c>
      <c r="D163">
        <v>75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activeCell="G272" sqref="G272"/>
    </sheetView>
  </sheetViews>
  <sheetFormatPr defaultRowHeight="15" x14ac:dyDescent="0.25"/>
  <cols>
    <col min="1" max="1" width="13.140625" customWidth="1"/>
    <col min="2" max="2" width="11" customWidth="1"/>
    <col min="3" max="3" width="24.140625" customWidth="1"/>
  </cols>
  <sheetData>
    <row r="1" spans="1:4" ht="15.75" thickBot="1" x14ac:dyDescent="0.3">
      <c r="A1" s="72">
        <v>66039</v>
      </c>
      <c r="B1" s="73" t="s">
        <v>300</v>
      </c>
      <c r="C1" s="73" t="s">
        <v>301</v>
      </c>
      <c r="D1" s="74">
        <v>11290</v>
      </c>
    </row>
    <row r="2" spans="1:4" ht="15.75" thickBot="1" x14ac:dyDescent="0.3">
      <c r="A2" s="75">
        <v>66057</v>
      </c>
      <c r="B2" s="76" t="s">
        <v>302</v>
      </c>
      <c r="C2" s="76" t="s">
        <v>301</v>
      </c>
      <c r="D2" s="77">
        <v>11290</v>
      </c>
    </row>
    <row r="3" spans="1:4" ht="15.75" thickBot="1" x14ac:dyDescent="0.3">
      <c r="A3" s="75">
        <v>66057</v>
      </c>
      <c r="B3" s="76" t="s">
        <v>303</v>
      </c>
      <c r="C3" s="76" t="s">
        <v>301</v>
      </c>
      <c r="D3" s="77">
        <v>25245</v>
      </c>
    </row>
    <row r="4" spans="1:4" ht="15.75" thickBot="1" x14ac:dyDescent="0.3">
      <c r="A4" s="75">
        <v>66058</v>
      </c>
      <c r="B4" s="76" t="s">
        <v>304</v>
      </c>
      <c r="C4" s="76" t="s">
        <v>305</v>
      </c>
      <c r="D4" s="77">
        <v>14363</v>
      </c>
    </row>
    <row r="5" spans="1:4" ht="15.75" thickBot="1" x14ac:dyDescent="0.3">
      <c r="A5" s="75">
        <v>66059</v>
      </c>
      <c r="B5" s="76" t="s">
        <v>306</v>
      </c>
      <c r="C5" s="76" t="s">
        <v>301</v>
      </c>
      <c r="D5" s="77">
        <v>13548</v>
      </c>
    </row>
    <row r="6" spans="1:4" ht="15.75" thickBot="1" x14ac:dyDescent="0.3">
      <c r="A6" s="75">
        <v>66062</v>
      </c>
      <c r="B6" s="76" t="s">
        <v>307</v>
      </c>
      <c r="C6" s="76" t="s">
        <v>301</v>
      </c>
      <c r="D6" s="77">
        <v>8572</v>
      </c>
    </row>
    <row r="7" spans="1:4" ht="15.75" thickBot="1" x14ac:dyDescent="0.3">
      <c r="A7" s="75">
        <v>66064</v>
      </c>
      <c r="B7" s="76" t="s">
        <v>308</v>
      </c>
      <c r="C7" s="76" t="s">
        <v>301</v>
      </c>
      <c r="D7" s="77">
        <v>11263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2"/>
  <sheetViews>
    <sheetView topLeftCell="A6" workbookViewId="0">
      <selection activeCell="G272" sqref="G272"/>
    </sheetView>
  </sheetViews>
  <sheetFormatPr defaultRowHeight="15" x14ac:dyDescent="0.25"/>
  <sheetData>
    <row r="1" spans="1:3" x14ac:dyDescent="0.25">
      <c r="A1" s="119" t="s">
        <v>309</v>
      </c>
      <c r="B1" s="119"/>
      <c r="C1" s="119"/>
    </row>
    <row r="2" spans="1:3" x14ac:dyDescent="0.25">
      <c r="A2" s="44" t="s">
        <v>310</v>
      </c>
      <c r="B2" t="s">
        <v>164</v>
      </c>
      <c r="C2">
        <v>12860</v>
      </c>
    </row>
    <row r="3" spans="1:3" x14ac:dyDescent="0.25">
      <c r="A3" t="s">
        <v>311</v>
      </c>
      <c r="B3" t="s">
        <v>164</v>
      </c>
      <c r="C3">
        <v>4750</v>
      </c>
    </row>
    <row r="4" spans="1:3" x14ac:dyDescent="0.25">
      <c r="A4" t="s">
        <v>312</v>
      </c>
      <c r="B4" t="s">
        <v>164</v>
      </c>
      <c r="C4">
        <v>7190</v>
      </c>
    </row>
    <row r="5" spans="1:3" x14ac:dyDescent="0.25">
      <c r="A5" t="s">
        <v>313</v>
      </c>
      <c r="B5" t="s">
        <v>164</v>
      </c>
      <c r="C5">
        <v>2200</v>
      </c>
    </row>
    <row r="6" spans="1:3" x14ac:dyDescent="0.25">
      <c r="A6" t="s">
        <v>313</v>
      </c>
      <c r="B6" t="s">
        <v>164</v>
      </c>
      <c r="C6">
        <v>270</v>
      </c>
    </row>
    <row r="7" spans="1:3" x14ac:dyDescent="0.25">
      <c r="A7" t="s">
        <v>314</v>
      </c>
      <c r="B7" t="s">
        <v>164</v>
      </c>
      <c r="C7">
        <v>1650</v>
      </c>
    </row>
    <row r="8" spans="1:3" x14ac:dyDescent="0.25">
      <c r="A8" t="s">
        <v>314</v>
      </c>
      <c r="B8" t="s">
        <v>164</v>
      </c>
      <c r="C8">
        <v>270</v>
      </c>
    </row>
    <row r="9" spans="1:3" x14ac:dyDescent="0.25">
      <c r="A9" t="s">
        <v>315</v>
      </c>
      <c r="B9" t="s">
        <v>164</v>
      </c>
      <c r="C9">
        <v>2460</v>
      </c>
    </row>
    <row r="10" spans="1:3" x14ac:dyDescent="0.25">
      <c r="A10" t="s">
        <v>316</v>
      </c>
      <c r="B10" t="s">
        <v>164</v>
      </c>
      <c r="C10">
        <v>7195</v>
      </c>
    </row>
    <row r="11" spans="1:3" x14ac:dyDescent="0.25">
      <c r="A11" t="s">
        <v>317</v>
      </c>
      <c r="B11" t="s">
        <v>164</v>
      </c>
      <c r="C11">
        <v>20400</v>
      </c>
    </row>
    <row r="12" spans="1:3" x14ac:dyDescent="0.25">
      <c r="A12" t="s">
        <v>317</v>
      </c>
      <c r="B12" t="s">
        <v>164</v>
      </c>
      <c r="C12">
        <v>3365</v>
      </c>
    </row>
    <row r="13" spans="1:3" x14ac:dyDescent="0.25">
      <c r="A13" t="s">
        <v>318</v>
      </c>
      <c r="B13" t="s">
        <v>164</v>
      </c>
      <c r="C13">
        <v>3175</v>
      </c>
    </row>
    <row r="14" spans="1:3" x14ac:dyDescent="0.25">
      <c r="A14" t="s">
        <v>319</v>
      </c>
      <c r="B14" t="s">
        <v>164</v>
      </c>
      <c r="C14">
        <v>4620</v>
      </c>
    </row>
    <row r="15" spans="1:3" x14ac:dyDescent="0.25">
      <c r="A15" t="s">
        <v>320</v>
      </c>
      <c r="B15" t="s">
        <v>164</v>
      </c>
      <c r="C15">
        <v>14500</v>
      </c>
    </row>
    <row r="16" spans="1:3" x14ac:dyDescent="0.25">
      <c r="A16" t="s">
        <v>321</v>
      </c>
      <c r="B16" t="s">
        <v>164</v>
      </c>
      <c r="C16">
        <v>124035</v>
      </c>
    </row>
    <row r="17" spans="1:3" x14ac:dyDescent="0.25">
      <c r="A17" t="s">
        <v>322</v>
      </c>
      <c r="B17" t="s">
        <v>164</v>
      </c>
      <c r="C17">
        <v>19925</v>
      </c>
    </row>
    <row r="18" spans="1:3" x14ac:dyDescent="0.25">
      <c r="A18" t="s">
        <v>323</v>
      </c>
      <c r="B18" t="s">
        <v>164</v>
      </c>
      <c r="C18">
        <v>6905</v>
      </c>
    </row>
    <row r="19" spans="1:3" x14ac:dyDescent="0.25">
      <c r="A19" t="s">
        <v>324</v>
      </c>
      <c r="B19" t="s">
        <v>164</v>
      </c>
      <c r="C19">
        <v>3350</v>
      </c>
    </row>
    <row r="20" spans="1:3" x14ac:dyDescent="0.25">
      <c r="A20" t="s">
        <v>325</v>
      </c>
      <c r="B20" t="s">
        <v>326</v>
      </c>
      <c r="C20">
        <v>-100000</v>
      </c>
    </row>
    <row r="21" spans="1:3" x14ac:dyDescent="0.25">
      <c r="A21" t="s">
        <v>325</v>
      </c>
      <c r="B21" t="s">
        <v>326</v>
      </c>
      <c r="C21">
        <v>-60000</v>
      </c>
    </row>
    <row r="22" spans="1:3" x14ac:dyDescent="0.25">
      <c r="C22" s="45">
        <f>SUM(C2:C21)</f>
        <v>79120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>
      <selection activeCell="G272" sqref="G272"/>
    </sheetView>
  </sheetViews>
  <sheetFormatPr defaultRowHeight="15" x14ac:dyDescent="0.25"/>
  <cols>
    <col min="1" max="1" width="19" bestFit="1" customWidth="1"/>
    <col min="7" max="7" width="12.7109375" bestFit="1" customWidth="1"/>
  </cols>
  <sheetData>
    <row r="1" spans="1:8" x14ac:dyDescent="0.25">
      <c r="A1" t="s">
        <v>327</v>
      </c>
      <c r="C1" t="s">
        <v>164</v>
      </c>
      <c r="G1" t="s">
        <v>328</v>
      </c>
    </row>
    <row r="2" spans="1:8" x14ac:dyDescent="0.25">
      <c r="A2" t="s">
        <v>329</v>
      </c>
      <c r="B2">
        <v>2996</v>
      </c>
      <c r="C2">
        <v>3050</v>
      </c>
      <c r="G2" t="s">
        <v>330</v>
      </c>
      <c r="H2">
        <v>4127</v>
      </c>
    </row>
    <row r="3" spans="1:8" x14ac:dyDescent="0.25">
      <c r="A3" t="s">
        <v>331</v>
      </c>
      <c r="B3">
        <v>4985</v>
      </c>
      <c r="C3">
        <v>5100</v>
      </c>
      <c r="G3" t="s">
        <v>332</v>
      </c>
      <c r="H3">
        <v>2855</v>
      </c>
    </row>
    <row r="4" spans="1:8" x14ac:dyDescent="0.25">
      <c r="A4" t="s">
        <v>332</v>
      </c>
      <c r="B4">
        <v>3059</v>
      </c>
      <c r="C4">
        <v>3100</v>
      </c>
      <c r="G4" t="s">
        <v>333</v>
      </c>
      <c r="H4">
        <v>6115</v>
      </c>
    </row>
    <row r="5" spans="1:8" x14ac:dyDescent="0.25">
      <c r="A5" t="s">
        <v>334</v>
      </c>
      <c r="B5">
        <v>2580</v>
      </c>
      <c r="C5">
        <v>2600</v>
      </c>
      <c r="G5" t="s">
        <v>335</v>
      </c>
      <c r="H5">
        <v>2440</v>
      </c>
    </row>
    <row r="6" spans="1:8" x14ac:dyDescent="0.25">
      <c r="A6" t="s">
        <v>336</v>
      </c>
      <c r="B6">
        <v>5063</v>
      </c>
      <c r="C6">
        <v>5150</v>
      </c>
      <c r="G6" t="s">
        <v>337</v>
      </c>
      <c r="H6">
        <v>2725</v>
      </c>
    </row>
    <row r="7" spans="1:8" x14ac:dyDescent="0.25">
      <c r="A7" t="s">
        <v>338</v>
      </c>
      <c r="B7">
        <v>2859</v>
      </c>
      <c r="C7">
        <v>2900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18"/>
  <sheetViews>
    <sheetView topLeftCell="A235" zoomScale="70" zoomScaleNormal="70" workbookViewId="0">
      <selection activeCell="G272" sqref="G272"/>
    </sheetView>
  </sheetViews>
  <sheetFormatPr defaultRowHeight="15" x14ac:dyDescent="0.25"/>
  <cols>
    <col min="1" max="1" width="38.5703125" customWidth="1"/>
    <col min="3" max="3" width="18.5703125" customWidth="1"/>
    <col min="4" max="4" width="21" customWidth="1"/>
    <col min="5" max="5" width="18.140625" customWidth="1"/>
  </cols>
  <sheetData>
    <row r="1" spans="1:4" x14ac:dyDescent="0.25">
      <c r="A1" s="1"/>
      <c r="B1" s="1"/>
      <c r="C1" s="1" t="s">
        <v>339</v>
      </c>
      <c r="D1" s="1" t="s">
        <v>340</v>
      </c>
    </row>
    <row r="2" spans="1:4" x14ac:dyDescent="0.25">
      <c r="A2" s="13" t="s">
        <v>341</v>
      </c>
      <c r="B2" s="19">
        <v>1</v>
      </c>
      <c r="C2" s="1"/>
      <c r="D2" s="1"/>
    </row>
    <row r="3" spans="1:4" x14ac:dyDescent="0.25">
      <c r="A3" s="13" t="s">
        <v>341</v>
      </c>
      <c r="B3" s="19">
        <v>4</v>
      </c>
      <c r="C3" s="1"/>
      <c r="D3" s="1"/>
    </row>
    <row r="4" spans="1:4" x14ac:dyDescent="0.25">
      <c r="A4" s="13" t="s">
        <v>341</v>
      </c>
      <c r="B4" s="19">
        <v>10</v>
      </c>
      <c r="C4" s="1"/>
      <c r="D4" s="1"/>
    </row>
    <row r="5" spans="1:4" x14ac:dyDescent="0.25">
      <c r="A5" s="13" t="s">
        <v>341</v>
      </c>
      <c r="B5" s="19">
        <v>20</v>
      </c>
      <c r="C5" s="1"/>
      <c r="D5" s="1"/>
    </row>
    <row r="6" spans="1:4" x14ac:dyDescent="0.25">
      <c r="A6" s="13" t="s">
        <v>342</v>
      </c>
      <c r="B6" s="19">
        <v>1</v>
      </c>
      <c r="C6" s="1"/>
      <c r="D6" s="1"/>
    </row>
    <row r="7" spans="1:4" x14ac:dyDescent="0.25">
      <c r="A7" s="13" t="s">
        <v>342</v>
      </c>
      <c r="B7" s="19">
        <v>4</v>
      </c>
      <c r="C7" s="1"/>
      <c r="D7" s="1"/>
    </row>
    <row r="8" spans="1:4" x14ac:dyDescent="0.25">
      <c r="A8" s="13" t="s">
        <v>342</v>
      </c>
      <c r="B8" s="19">
        <v>10</v>
      </c>
      <c r="C8" s="1"/>
      <c r="D8" s="1"/>
    </row>
    <row r="9" spans="1:4" x14ac:dyDescent="0.25">
      <c r="A9" s="13" t="s">
        <v>342</v>
      </c>
      <c r="B9" s="19">
        <v>20</v>
      </c>
      <c r="C9" s="1"/>
      <c r="D9" s="1"/>
    </row>
    <row r="10" spans="1:4" x14ac:dyDescent="0.25">
      <c r="A10" s="13" t="s">
        <v>343</v>
      </c>
      <c r="B10" s="19">
        <v>1</v>
      </c>
      <c r="C10" s="1"/>
      <c r="D10" s="1"/>
    </row>
    <row r="11" spans="1:4" x14ac:dyDescent="0.25">
      <c r="A11" s="13" t="s">
        <v>343</v>
      </c>
      <c r="B11" s="19">
        <v>4</v>
      </c>
      <c r="C11" s="1"/>
      <c r="D11" s="1"/>
    </row>
    <row r="12" spans="1:4" x14ac:dyDescent="0.25">
      <c r="A12" s="13" t="s">
        <v>343</v>
      </c>
      <c r="B12" s="19">
        <v>10</v>
      </c>
      <c r="C12" s="1"/>
      <c r="D12" s="1"/>
    </row>
    <row r="13" spans="1:4" x14ac:dyDescent="0.25">
      <c r="A13" s="13" t="s">
        <v>343</v>
      </c>
      <c r="B13" s="19">
        <v>20</v>
      </c>
      <c r="C13" s="1"/>
      <c r="D13" s="1"/>
    </row>
    <row r="14" spans="1:4" x14ac:dyDescent="0.25">
      <c r="A14" s="13" t="s">
        <v>344</v>
      </c>
      <c r="B14" s="19">
        <v>1</v>
      </c>
      <c r="C14" s="1"/>
      <c r="D14" s="1"/>
    </row>
    <row r="15" spans="1:4" x14ac:dyDescent="0.25">
      <c r="A15" s="13" t="s">
        <v>344</v>
      </c>
      <c r="B15" s="19">
        <v>4</v>
      </c>
      <c r="C15" s="1"/>
      <c r="D15" s="1"/>
    </row>
    <row r="16" spans="1:4" x14ac:dyDescent="0.25">
      <c r="A16" s="13" t="s">
        <v>344</v>
      </c>
      <c r="B16" s="19">
        <v>10</v>
      </c>
      <c r="C16" s="1"/>
      <c r="D16" s="1"/>
    </row>
    <row r="17" spans="1:4" x14ac:dyDescent="0.25">
      <c r="A17" s="13" t="s">
        <v>344</v>
      </c>
      <c r="B17" s="19">
        <v>20</v>
      </c>
      <c r="C17" s="1"/>
      <c r="D17" s="1"/>
    </row>
    <row r="18" spans="1:4" x14ac:dyDescent="0.25">
      <c r="A18" s="13" t="s">
        <v>345</v>
      </c>
      <c r="B18" s="19">
        <v>1</v>
      </c>
      <c r="C18" s="1"/>
      <c r="D18" s="1"/>
    </row>
    <row r="19" spans="1:4" x14ac:dyDescent="0.25">
      <c r="A19" s="13" t="s">
        <v>345</v>
      </c>
      <c r="B19" s="19">
        <v>4</v>
      </c>
      <c r="C19" s="1"/>
      <c r="D19" s="1"/>
    </row>
    <row r="20" spans="1:4" x14ac:dyDescent="0.25">
      <c r="A20" s="13" t="s">
        <v>345</v>
      </c>
      <c r="B20" s="19">
        <v>10</v>
      </c>
      <c r="C20" s="1"/>
      <c r="D20" s="1"/>
    </row>
    <row r="21" spans="1:4" x14ac:dyDescent="0.25">
      <c r="A21" s="13" t="s">
        <v>345</v>
      </c>
      <c r="B21" s="19">
        <v>20</v>
      </c>
      <c r="C21" s="1"/>
      <c r="D21" s="1"/>
    </row>
    <row r="22" spans="1:4" x14ac:dyDescent="0.25">
      <c r="A22" s="13" t="s">
        <v>346</v>
      </c>
      <c r="B22" s="19">
        <v>1</v>
      </c>
      <c r="C22" s="1"/>
      <c r="D22" s="1"/>
    </row>
    <row r="23" spans="1:4" x14ac:dyDescent="0.25">
      <c r="A23" s="13" t="s">
        <v>346</v>
      </c>
      <c r="B23" s="19">
        <v>4</v>
      </c>
      <c r="C23" s="1"/>
      <c r="D23" s="1"/>
    </row>
    <row r="24" spans="1:4" x14ac:dyDescent="0.25">
      <c r="A24" s="13" t="s">
        <v>346</v>
      </c>
      <c r="B24" s="19">
        <v>10</v>
      </c>
      <c r="C24" s="1"/>
      <c r="D24" s="1"/>
    </row>
    <row r="25" spans="1:4" x14ac:dyDescent="0.25">
      <c r="A25" s="13" t="s">
        <v>346</v>
      </c>
      <c r="B25" s="19">
        <v>20</v>
      </c>
      <c r="C25" s="1"/>
      <c r="D25" s="1"/>
    </row>
    <row r="26" spans="1:4" x14ac:dyDescent="0.25">
      <c r="A26" s="13" t="s">
        <v>347</v>
      </c>
      <c r="B26" s="19">
        <v>1</v>
      </c>
      <c r="C26" s="1"/>
      <c r="D26" s="1"/>
    </row>
    <row r="27" spans="1:4" x14ac:dyDescent="0.25">
      <c r="A27" s="13" t="s">
        <v>347</v>
      </c>
      <c r="B27" s="19">
        <v>4</v>
      </c>
      <c r="C27" s="1"/>
      <c r="D27" s="1"/>
    </row>
    <row r="28" spans="1:4" x14ac:dyDescent="0.25">
      <c r="A28" s="13" t="s">
        <v>347</v>
      </c>
      <c r="B28" s="19">
        <v>10</v>
      </c>
      <c r="C28" s="1"/>
      <c r="D28" s="1"/>
    </row>
    <row r="29" spans="1:4" x14ac:dyDescent="0.25">
      <c r="A29" s="13" t="s">
        <v>347</v>
      </c>
      <c r="B29" s="19">
        <v>20</v>
      </c>
      <c r="C29" s="1"/>
      <c r="D29" s="1"/>
    </row>
    <row r="30" spans="1:4" x14ac:dyDescent="0.25">
      <c r="A30" s="13" t="s">
        <v>348</v>
      </c>
      <c r="B30" s="19">
        <v>1</v>
      </c>
      <c r="C30" s="1"/>
      <c r="D30" s="1"/>
    </row>
    <row r="31" spans="1:4" x14ac:dyDescent="0.25">
      <c r="A31" s="13" t="s">
        <v>348</v>
      </c>
      <c r="B31" s="19">
        <v>4</v>
      </c>
      <c r="C31" s="1"/>
      <c r="D31" s="1"/>
    </row>
    <row r="32" spans="1:4" x14ac:dyDescent="0.25">
      <c r="A32" s="13" t="s">
        <v>348</v>
      </c>
      <c r="B32" s="19">
        <v>10</v>
      </c>
      <c r="C32" s="1"/>
      <c r="D32" s="1"/>
    </row>
    <row r="33" spans="1:4" x14ac:dyDescent="0.25">
      <c r="A33" s="13" t="s">
        <v>348</v>
      </c>
      <c r="B33" s="19">
        <v>20</v>
      </c>
      <c r="C33" s="1"/>
      <c r="D33" s="1"/>
    </row>
    <row r="34" spans="1:4" x14ac:dyDescent="0.25">
      <c r="A34" s="13"/>
      <c r="B34" s="19"/>
      <c r="C34" s="1"/>
      <c r="D34" s="1"/>
    </row>
    <row r="35" spans="1:4" x14ac:dyDescent="0.25">
      <c r="A35" s="13" t="s">
        <v>349</v>
      </c>
      <c r="B35" s="19">
        <v>1</v>
      </c>
      <c r="C35" s="1"/>
      <c r="D35" s="1"/>
    </row>
    <row r="36" spans="1:4" x14ac:dyDescent="0.25">
      <c r="A36" s="13" t="s">
        <v>349</v>
      </c>
      <c r="B36" s="19">
        <v>4</v>
      </c>
      <c r="C36" s="1"/>
      <c r="D36" s="1"/>
    </row>
    <row r="37" spans="1:4" x14ac:dyDescent="0.25">
      <c r="A37" s="13" t="s">
        <v>349</v>
      </c>
      <c r="B37" s="19">
        <v>10</v>
      </c>
      <c r="C37" s="1"/>
      <c r="D37" s="1"/>
    </row>
    <row r="38" spans="1:4" x14ac:dyDescent="0.25">
      <c r="A38" s="13" t="s">
        <v>349</v>
      </c>
      <c r="B38" s="19">
        <v>20</v>
      </c>
      <c r="C38" s="1"/>
      <c r="D38" s="1"/>
    </row>
    <row r="39" spans="1:4" x14ac:dyDescent="0.25">
      <c r="A39" s="13" t="s">
        <v>350</v>
      </c>
      <c r="B39" s="19">
        <v>1</v>
      </c>
      <c r="C39" s="1"/>
      <c r="D39" s="1"/>
    </row>
    <row r="40" spans="1:4" x14ac:dyDescent="0.25">
      <c r="A40" s="3">
        <v>65744</v>
      </c>
      <c r="B40" s="19">
        <v>4</v>
      </c>
      <c r="C40" s="1"/>
      <c r="D40" s="1"/>
    </row>
    <row r="41" spans="1:4" x14ac:dyDescent="0.25">
      <c r="A41" s="13" t="s">
        <v>350</v>
      </c>
      <c r="B41" s="19">
        <v>10</v>
      </c>
      <c r="C41" s="1"/>
      <c r="D41" s="1"/>
    </row>
    <row r="42" spans="1:4" x14ac:dyDescent="0.25">
      <c r="A42" s="13" t="s">
        <v>350</v>
      </c>
      <c r="B42" s="19">
        <v>20</v>
      </c>
      <c r="C42" s="1"/>
      <c r="D42" s="1"/>
    </row>
    <row r="43" spans="1:4" x14ac:dyDescent="0.25">
      <c r="A43" s="13" t="s">
        <v>351</v>
      </c>
      <c r="B43" s="19">
        <v>1</v>
      </c>
      <c r="C43" s="1"/>
      <c r="D43" s="1"/>
    </row>
    <row r="44" spans="1:4" x14ac:dyDescent="0.25">
      <c r="A44" s="13" t="s">
        <v>351</v>
      </c>
      <c r="B44" s="19">
        <v>4</v>
      </c>
      <c r="C44" s="1"/>
      <c r="D44" s="1"/>
    </row>
    <row r="45" spans="1:4" x14ac:dyDescent="0.25">
      <c r="A45" s="13" t="s">
        <v>351</v>
      </c>
      <c r="B45" s="19">
        <v>10</v>
      </c>
      <c r="C45" s="1"/>
      <c r="D45" s="1"/>
    </row>
    <row r="46" spans="1:4" x14ac:dyDescent="0.25">
      <c r="A46" s="13" t="s">
        <v>351</v>
      </c>
      <c r="B46" s="19">
        <v>20</v>
      </c>
      <c r="C46" s="1"/>
      <c r="D46" s="1"/>
    </row>
    <row r="47" spans="1:4" x14ac:dyDescent="0.25">
      <c r="A47" s="13" t="s">
        <v>352</v>
      </c>
      <c r="B47" s="19">
        <v>1</v>
      </c>
      <c r="C47" s="1"/>
      <c r="D47" s="1"/>
    </row>
    <row r="48" spans="1:4" x14ac:dyDescent="0.25">
      <c r="A48" s="13" t="s">
        <v>352</v>
      </c>
      <c r="B48" s="19">
        <v>4</v>
      </c>
      <c r="C48" s="1"/>
      <c r="D48" s="1"/>
    </row>
    <row r="49" spans="1:4" x14ac:dyDescent="0.25">
      <c r="A49" s="13" t="s">
        <v>352</v>
      </c>
      <c r="B49" s="19">
        <v>10</v>
      </c>
      <c r="C49" s="1"/>
      <c r="D49" s="1"/>
    </row>
    <row r="50" spans="1:4" x14ac:dyDescent="0.25">
      <c r="A50" s="13" t="s">
        <v>352</v>
      </c>
      <c r="B50" s="19">
        <v>20</v>
      </c>
      <c r="C50" s="1"/>
      <c r="D50" s="1"/>
    </row>
    <row r="51" spans="1:4" x14ac:dyDescent="0.25">
      <c r="A51" s="13" t="s">
        <v>353</v>
      </c>
      <c r="B51" s="19">
        <v>1</v>
      </c>
      <c r="C51" s="1"/>
      <c r="D51" s="1"/>
    </row>
    <row r="52" spans="1:4" x14ac:dyDescent="0.25">
      <c r="A52" s="13" t="s">
        <v>353</v>
      </c>
      <c r="B52" s="19">
        <v>4</v>
      </c>
      <c r="C52" s="1"/>
      <c r="D52" s="1"/>
    </row>
    <row r="53" spans="1:4" x14ac:dyDescent="0.25">
      <c r="A53" s="13" t="s">
        <v>353</v>
      </c>
      <c r="B53" s="19">
        <v>10</v>
      </c>
      <c r="C53" s="1"/>
      <c r="D53" s="1"/>
    </row>
    <row r="54" spans="1:4" x14ac:dyDescent="0.25">
      <c r="A54" s="13" t="s">
        <v>353</v>
      </c>
      <c r="B54" s="19">
        <v>20</v>
      </c>
      <c r="C54" s="1"/>
      <c r="D54" s="1"/>
    </row>
    <row r="55" spans="1:4" x14ac:dyDescent="0.25">
      <c r="A55" s="13" t="s">
        <v>354</v>
      </c>
      <c r="B55" s="19">
        <v>1</v>
      </c>
      <c r="C55" s="1"/>
      <c r="D55" s="1"/>
    </row>
    <row r="56" spans="1:4" x14ac:dyDescent="0.25">
      <c r="A56" s="13" t="s">
        <v>354</v>
      </c>
      <c r="B56" s="19">
        <v>4</v>
      </c>
      <c r="C56" s="1"/>
      <c r="D56" s="1"/>
    </row>
    <row r="57" spans="1:4" x14ac:dyDescent="0.25">
      <c r="A57" s="13" t="s">
        <v>354</v>
      </c>
      <c r="B57" s="19">
        <v>10</v>
      </c>
      <c r="C57" s="1"/>
      <c r="D57" s="1"/>
    </row>
    <row r="58" spans="1:4" x14ac:dyDescent="0.25">
      <c r="A58" s="13" t="s">
        <v>354</v>
      </c>
      <c r="B58" s="19">
        <v>20</v>
      </c>
      <c r="C58" s="1"/>
      <c r="D58" s="1"/>
    </row>
    <row r="59" spans="1:4" x14ac:dyDescent="0.25">
      <c r="A59" s="13" t="s">
        <v>355</v>
      </c>
      <c r="B59" s="19">
        <v>1</v>
      </c>
      <c r="C59" s="1"/>
      <c r="D59" s="1"/>
    </row>
    <row r="60" spans="1:4" x14ac:dyDescent="0.25">
      <c r="A60" s="13" t="s">
        <v>355</v>
      </c>
      <c r="B60" s="19">
        <v>4</v>
      </c>
      <c r="C60" s="1"/>
      <c r="D60" s="1"/>
    </row>
    <row r="61" spans="1:4" x14ac:dyDescent="0.25">
      <c r="A61" s="13" t="s">
        <v>355</v>
      </c>
      <c r="B61" s="19">
        <v>10</v>
      </c>
      <c r="C61" s="1"/>
      <c r="D61" s="1"/>
    </row>
    <row r="62" spans="1:4" x14ac:dyDescent="0.25">
      <c r="A62" s="13" t="s">
        <v>355</v>
      </c>
      <c r="B62" s="19">
        <v>20</v>
      </c>
      <c r="C62" s="1"/>
      <c r="D62" s="1"/>
    </row>
    <row r="63" spans="1:4" x14ac:dyDescent="0.25">
      <c r="A63" s="13" t="s">
        <v>356</v>
      </c>
      <c r="B63" s="19">
        <v>1</v>
      </c>
      <c r="C63" s="1"/>
      <c r="D63" s="1"/>
    </row>
    <row r="64" spans="1:4" x14ac:dyDescent="0.25">
      <c r="A64" s="13" t="s">
        <v>356</v>
      </c>
      <c r="B64" s="19">
        <v>4</v>
      </c>
      <c r="C64" s="1"/>
      <c r="D64" s="1"/>
    </row>
    <row r="65" spans="1:4" x14ac:dyDescent="0.25">
      <c r="A65" s="13" t="s">
        <v>356</v>
      </c>
      <c r="B65" s="19">
        <v>10</v>
      </c>
      <c r="C65" s="1"/>
      <c r="D65" s="1"/>
    </row>
    <row r="66" spans="1:4" x14ac:dyDescent="0.25">
      <c r="A66" s="13" t="s">
        <v>356</v>
      </c>
      <c r="B66" s="19">
        <v>20</v>
      </c>
      <c r="C66" s="1"/>
      <c r="D66" s="1"/>
    </row>
    <row r="67" spans="1:4" x14ac:dyDescent="0.25">
      <c r="A67" s="13"/>
      <c r="B67" s="19"/>
      <c r="C67" s="1"/>
      <c r="D67" s="1"/>
    </row>
    <row r="68" spans="1:4" x14ac:dyDescent="0.25">
      <c r="A68" s="13" t="s">
        <v>357</v>
      </c>
      <c r="B68" s="19">
        <v>1</v>
      </c>
      <c r="C68" s="1"/>
      <c r="D68" s="1"/>
    </row>
    <row r="69" spans="1:4" x14ac:dyDescent="0.25">
      <c r="A69" s="13" t="s">
        <v>357</v>
      </c>
      <c r="B69" s="19">
        <v>4</v>
      </c>
      <c r="C69" s="1"/>
      <c r="D69" s="1"/>
    </row>
    <row r="70" spans="1:4" x14ac:dyDescent="0.25">
      <c r="A70" s="13" t="s">
        <v>357</v>
      </c>
      <c r="B70" s="19">
        <v>10</v>
      </c>
      <c r="C70" s="1"/>
      <c r="D70" s="1"/>
    </row>
    <row r="71" spans="1:4" x14ac:dyDescent="0.25">
      <c r="A71" s="13" t="s">
        <v>357</v>
      </c>
      <c r="B71" s="19">
        <v>20</v>
      </c>
      <c r="C71" s="1"/>
      <c r="D71" s="1"/>
    </row>
    <row r="72" spans="1:4" x14ac:dyDescent="0.25">
      <c r="A72" s="13" t="s">
        <v>358</v>
      </c>
      <c r="B72" s="19">
        <v>1</v>
      </c>
      <c r="C72" s="1"/>
      <c r="D72" s="1"/>
    </row>
    <row r="73" spans="1:4" x14ac:dyDescent="0.25">
      <c r="A73" s="13" t="s">
        <v>358</v>
      </c>
      <c r="B73" s="19">
        <v>4</v>
      </c>
      <c r="C73" s="1"/>
      <c r="D73" s="1"/>
    </row>
    <row r="74" spans="1:4" x14ac:dyDescent="0.25">
      <c r="A74" s="13" t="s">
        <v>358</v>
      </c>
      <c r="B74" s="19">
        <v>10</v>
      </c>
      <c r="C74" s="1"/>
      <c r="D74" s="1"/>
    </row>
    <row r="75" spans="1:4" x14ac:dyDescent="0.25">
      <c r="A75" s="13" t="s">
        <v>358</v>
      </c>
      <c r="B75" s="19">
        <v>20</v>
      </c>
      <c r="C75" s="1"/>
      <c r="D75" s="1"/>
    </row>
    <row r="76" spans="1:4" x14ac:dyDescent="0.25">
      <c r="A76" s="13" t="s">
        <v>359</v>
      </c>
      <c r="B76" s="19">
        <v>1</v>
      </c>
      <c r="C76" s="1"/>
      <c r="D76" s="1"/>
    </row>
    <row r="77" spans="1:4" x14ac:dyDescent="0.25">
      <c r="A77" s="13" t="s">
        <v>359</v>
      </c>
      <c r="B77" s="19">
        <v>4</v>
      </c>
      <c r="C77" s="1"/>
      <c r="D77" s="1"/>
    </row>
    <row r="78" spans="1:4" x14ac:dyDescent="0.25">
      <c r="A78" s="13" t="s">
        <v>359</v>
      </c>
      <c r="B78" s="19">
        <v>10</v>
      </c>
      <c r="C78" s="1"/>
      <c r="D78" s="1"/>
    </row>
    <row r="79" spans="1:4" x14ac:dyDescent="0.25">
      <c r="A79" s="13" t="s">
        <v>359</v>
      </c>
      <c r="B79" s="19">
        <v>20</v>
      </c>
      <c r="C79" s="1"/>
      <c r="D79" s="1"/>
    </row>
    <row r="80" spans="1:4" x14ac:dyDescent="0.25">
      <c r="A80" s="13" t="s">
        <v>360</v>
      </c>
      <c r="B80" s="19">
        <v>1</v>
      </c>
      <c r="C80" s="1"/>
      <c r="D80" s="1"/>
    </row>
    <row r="81" spans="1:4" x14ac:dyDescent="0.25">
      <c r="A81" s="13" t="s">
        <v>360</v>
      </c>
      <c r="B81" s="19">
        <v>4</v>
      </c>
      <c r="C81" s="1"/>
      <c r="D81" s="1"/>
    </row>
    <row r="82" spans="1:4" x14ac:dyDescent="0.25">
      <c r="A82" s="13" t="s">
        <v>360</v>
      </c>
      <c r="B82" s="19">
        <v>10</v>
      </c>
      <c r="C82" s="1"/>
      <c r="D82" s="1"/>
    </row>
    <row r="83" spans="1:4" x14ac:dyDescent="0.25">
      <c r="A83" s="13" t="s">
        <v>360</v>
      </c>
      <c r="B83" s="19">
        <v>20</v>
      </c>
      <c r="C83" s="1"/>
      <c r="D83" s="1"/>
    </row>
    <row r="84" spans="1:4" x14ac:dyDescent="0.25">
      <c r="A84" s="13" t="s">
        <v>8</v>
      </c>
      <c r="B84" s="19">
        <v>1</v>
      </c>
      <c r="C84" s="1"/>
      <c r="D84" s="1"/>
    </row>
    <row r="85" spans="1:4" x14ac:dyDescent="0.25">
      <c r="A85" s="13" t="s">
        <v>8</v>
      </c>
      <c r="B85" s="19">
        <v>4</v>
      </c>
      <c r="C85" s="1"/>
      <c r="D85" s="1"/>
    </row>
    <row r="86" spans="1:4" x14ac:dyDescent="0.25">
      <c r="A86" s="13" t="s">
        <v>8</v>
      </c>
      <c r="B86" s="19">
        <v>10</v>
      </c>
      <c r="C86" s="1"/>
      <c r="D86" s="1"/>
    </row>
    <row r="87" spans="1:4" x14ac:dyDescent="0.25">
      <c r="A87" s="13" t="s">
        <v>8</v>
      </c>
      <c r="B87" s="19">
        <v>20</v>
      </c>
      <c r="C87" s="1"/>
      <c r="D87" s="1"/>
    </row>
    <row r="88" spans="1:4" x14ac:dyDescent="0.25">
      <c r="A88" s="13" t="s">
        <v>361</v>
      </c>
      <c r="B88" s="19">
        <v>1</v>
      </c>
      <c r="C88" s="1"/>
      <c r="D88" s="1"/>
    </row>
    <row r="89" spans="1:4" x14ac:dyDescent="0.25">
      <c r="A89" s="13" t="s">
        <v>361</v>
      </c>
      <c r="B89" s="19">
        <v>4</v>
      </c>
      <c r="C89" s="1"/>
      <c r="D89" s="1"/>
    </row>
    <row r="90" spans="1:4" x14ac:dyDescent="0.25">
      <c r="A90" s="13" t="s">
        <v>361</v>
      </c>
      <c r="B90" s="19">
        <v>10</v>
      </c>
      <c r="C90" s="1"/>
      <c r="D90" s="1"/>
    </row>
    <row r="91" spans="1:4" x14ac:dyDescent="0.25">
      <c r="A91" s="13" t="s">
        <v>361</v>
      </c>
      <c r="B91" s="19">
        <v>20</v>
      </c>
      <c r="C91" s="1"/>
      <c r="D91" s="1"/>
    </row>
    <row r="92" spans="1:4" x14ac:dyDescent="0.25">
      <c r="A92" s="13" t="s">
        <v>362</v>
      </c>
      <c r="B92" s="19">
        <v>1</v>
      </c>
      <c r="C92" s="1"/>
      <c r="D92" s="1"/>
    </row>
    <row r="93" spans="1:4" x14ac:dyDescent="0.25">
      <c r="A93" s="13" t="s">
        <v>362</v>
      </c>
      <c r="B93" s="19">
        <v>4</v>
      </c>
      <c r="C93" s="1"/>
      <c r="D93" s="1"/>
    </row>
    <row r="94" spans="1:4" x14ac:dyDescent="0.25">
      <c r="A94" s="13" t="s">
        <v>362</v>
      </c>
      <c r="B94" s="19">
        <v>10</v>
      </c>
      <c r="C94" s="1"/>
      <c r="D94" s="1"/>
    </row>
    <row r="95" spans="1:4" x14ac:dyDescent="0.25">
      <c r="A95" s="13" t="s">
        <v>362</v>
      </c>
      <c r="B95" s="19">
        <v>20</v>
      </c>
      <c r="C95" s="1"/>
      <c r="D95" s="1"/>
    </row>
    <row r="96" spans="1:4" x14ac:dyDescent="0.25">
      <c r="A96" s="13"/>
      <c r="B96" s="19"/>
      <c r="C96" s="1" t="s">
        <v>339</v>
      </c>
      <c r="D96" s="1" t="s">
        <v>363</v>
      </c>
    </row>
    <row r="97" spans="1:4" x14ac:dyDescent="0.25">
      <c r="A97" s="13" t="s">
        <v>11</v>
      </c>
      <c r="B97" s="19">
        <v>1</v>
      </c>
      <c r="C97" s="1"/>
      <c r="D97" s="1"/>
    </row>
    <row r="98" spans="1:4" x14ac:dyDescent="0.25">
      <c r="A98" s="13" t="s">
        <v>11</v>
      </c>
      <c r="B98" s="19">
        <v>4</v>
      </c>
      <c r="C98" s="1"/>
      <c r="D98" s="1"/>
    </row>
    <row r="99" spans="1:4" x14ac:dyDescent="0.25">
      <c r="A99" s="13" t="s">
        <v>11</v>
      </c>
      <c r="B99" s="19">
        <v>10</v>
      </c>
      <c r="C99" s="1"/>
      <c r="D99" s="1"/>
    </row>
    <row r="100" spans="1:4" x14ac:dyDescent="0.25">
      <c r="A100" s="13" t="s">
        <v>11</v>
      </c>
      <c r="B100" s="19">
        <v>20</v>
      </c>
      <c r="C100" s="1"/>
      <c r="D100" s="1"/>
    </row>
    <row r="101" spans="1:4" x14ac:dyDescent="0.25">
      <c r="A101" s="13" t="s">
        <v>12</v>
      </c>
      <c r="B101" s="19">
        <v>1</v>
      </c>
      <c r="C101" s="1"/>
      <c r="D101" s="1"/>
    </row>
    <row r="102" spans="1:4" x14ac:dyDescent="0.25">
      <c r="A102" s="13" t="s">
        <v>12</v>
      </c>
      <c r="B102" s="19">
        <v>4</v>
      </c>
      <c r="C102" s="1"/>
      <c r="D102" s="1"/>
    </row>
    <row r="103" spans="1:4" x14ac:dyDescent="0.25">
      <c r="A103" s="13" t="s">
        <v>12</v>
      </c>
      <c r="B103" s="19">
        <v>10</v>
      </c>
      <c r="C103" s="1"/>
      <c r="D103" s="1"/>
    </row>
    <row r="104" spans="1:4" x14ac:dyDescent="0.25">
      <c r="A104" s="13" t="s">
        <v>12</v>
      </c>
      <c r="B104" s="19">
        <v>20</v>
      </c>
      <c r="C104" s="1"/>
      <c r="D104" s="1"/>
    </row>
    <row r="105" spans="1:4" x14ac:dyDescent="0.25">
      <c r="A105" s="13" t="s">
        <v>364</v>
      </c>
      <c r="B105" s="19">
        <v>1</v>
      </c>
      <c r="C105" s="1"/>
      <c r="D105" s="1"/>
    </row>
    <row r="106" spans="1:4" x14ac:dyDescent="0.25">
      <c r="A106" s="13" t="s">
        <v>364</v>
      </c>
      <c r="B106" s="19">
        <v>4</v>
      </c>
      <c r="C106" s="1"/>
      <c r="D106" s="1"/>
    </row>
    <row r="107" spans="1:4" x14ac:dyDescent="0.25">
      <c r="A107" s="13" t="s">
        <v>364</v>
      </c>
      <c r="B107" s="19">
        <v>10</v>
      </c>
      <c r="C107" s="1"/>
      <c r="D107" s="1"/>
    </row>
    <row r="108" spans="1:4" x14ac:dyDescent="0.25">
      <c r="A108" s="13" t="s">
        <v>364</v>
      </c>
      <c r="B108" s="19">
        <v>20</v>
      </c>
      <c r="C108" s="1"/>
      <c r="D108" s="1"/>
    </row>
    <row r="109" spans="1:4" x14ac:dyDescent="0.25">
      <c r="A109" s="13" t="s">
        <v>365</v>
      </c>
      <c r="B109" s="19">
        <v>1</v>
      </c>
      <c r="C109" s="1"/>
      <c r="D109" s="1"/>
    </row>
    <row r="110" spans="1:4" x14ac:dyDescent="0.25">
      <c r="A110" s="13" t="s">
        <v>365</v>
      </c>
      <c r="B110" s="19">
        <v>4</v>
      </c>
      <c r="C110" s="1"/>
      <c r="D110" s="1"/>
    </row>
    <row r="111" spans="1:4" x14ac:dyDescent="0.25">
      <c r="A111" s="13" t="s">
        <v>365</v>
      </c>
      <c r="B111" s="19">
        <v>10</v>
      </c>
      <c r="C111" s="1"/>
      <c r="D111" s="1"/>
    </row>
    <row r="112" spans="1:4" x14ac:dyDescent="0.25">
      <c r="A112" s="13" t="s">
        <v>365</v>
      </c>
      <c r="B112" s="19">
        <v>20</v>
      </c>
      <c r="C112" s="1"/>
      <c r="D112" s="1"/>
    </row>
    <row r="113" spans="1:4" x14ac:dyDescent="0.25">
      <c r="A113" s="13"/>
      <c r="B113" s="19"/>
      <c r="C113" s="1"/>
      <c r="D113" s="1"/>
    </row>
    <row r="114" spans="1:4" x14ac:dyDescent="0.25">
      <c r="A114" s="13" t="s">
        <v>14</v>
      </c>
      <c r="B114" s="19">
        <v>1</v>
      </c>
      <c r="C114" s="1"/>
      <c r="D114" s="1"/>
    </row>
    <row r="115" spans="1:4" x14ac:dyDescent="0.25">
      <c r="A115" s="13" t="s">
        <v>14</v>
      </c>
      <c r="B115" s="19">
        <v>4</v>
      </c>
      <c r="C115" s="1"/>
      <c r="D115" s="1"/>
    </row>
    <row r="116" spans="1:4" x14ac:dyDescent="0.25">
      <c r="A116" s="13" t="s">
        <v>14</v>
      </c>
      <c r="B116" s="19">
        <v>10</v>
      </c>
      <c r="C116" s="1"/>
      <c r="D116" s="1"/>
    </row>
    <row r="117" spans="1:4" x14ac:dyDescent="0.25">
      <c r="A117" s="13" t="s">
        <v>14</v>
      </c>
      <c r="B117" s="19">
        <v>20</v>
      </c>
      <c r="C117" s="1"/>
      <c r="D117" s="1"/>
    </row>
    <row r="118" spans="1:4" x14ac:dyDescent="0.25">
      <c r="A118" s="13" t="s">
        <v>15</v>
      </c>
      <c r="B118" s="19">
        <v>1</v>
      </c>
      <c r="C118" s="1"/>
      <c r="D118" s="1"/>
    </row>
    <row r="119" spans="1:4" x14ac:dyDescent="0.25">
      <c r="A119" s="13" t="s">
        <v>15</v>
      </c>
      <c r="B119" s="19">
        <v>4</v>
      </c>
      <c r="C119" s="1"/>
      <c r="D119" s="1"/>
    </row>
    <row r="120" spans="1:4" x14ac:dyDescent="0.25">
      <c r="A120" s="13" t="s">
        <v>15</v>
      </c>
      <c r="B120" s="19">
        <v>10</v>
      </c>
      <c r="C120" s="1"/>
      <c r="D120" s="1"/>
    </row>
    <row r="121" spans="1:4" x14ac:dyDescent="0.25">
      <c r="A121" s="13" t="s">
        <v>15</v>
      </c>
      <c r="B121" s="19">
        <v>20</v>
      </c>
      <c r="C121" s="1"/>
      <c r="D121" s="1"/>
    </row>
    <row r="122" spans="1:4" x14ac:dyDescent="0.25">
      <c r="A122" s="13" t="s">
        <v>16</v>
      </c>
      <c r="B122" s="19">
        <v>20</v>
      </c>
      <c r="C122" s="1"/>
      <c r="D122" s="1"/>
    </row>
    <row r="123" spans="1:4" x14ac:dyDescent="0.25">
      <c r="A123" s="13" t="s">
        <v>16</v>
      </c>
      <c r="B123" s="19">
        <v>1</v>
      </c>
      <c r="C123" s="1"/>
      <c r="D123" s="1"/>
    </row>
    <row r="124" spans="1:4" x14ac:dyDescent="0.25">
      <c r="A124" s="13" t="s">
        <v>16</v>
      </c>
      <c r="B124" s="19">
        <v>4</v>
      </c>
      <c r="C124" s="1"/>
      <c r="D124" s="1"/>
    </row>
    <row r="125" spans="1:4" x14ac:dyDescent="0.25">
      <c r="A125" s="13" t="s">
        <v>16</v>
      </c>
      <c r="B125" s="19">
        <v>10</v>
      </c>
      <c r="C125" s="1"/>
      <c r="D125" s="1"/>
    </row>
    <row r="126" spans="1:4" x14ac:dyDescent="0.25">
      <c r="A126" s="13" t="s">
        <v>16</v>
      </c>
      <c r="B126" s="19">
        <v>20</v>
      </c>
      <c r="C126" s="1"/>
      <c r="D126" s="1"/>
    </row>
    <row r="127" spans="1:4" x14ac:dyDescent="0.25">
      <c r="A127" s="13"/>
      <c r="B127" s="19"/>
      <c r="C127" s="1"/>
      <c r="D127" s="1" t="s">
        <v>340</v>
      </c>
    </row>
    <row r="128" spans="1:4" x14ac:dyDescent="0.25">
      <c r="A128" s="13" t="s">
        <v>17</v>
      </c>
      <c r="B128" s="19"/>
      <c r="C128" s="1"/>
      <c r="D128" s="1"/>
    </row>
    <row r="129" spans="1:4" x14ac:dyDescent="0.25">
      <c r="A129" s="13" t="s">
        <v>17</v>
      </c>
      <c r="B129" s="19">
        <v>1</v>
      </c>
      <c r="C129" s="1"/>
      <c r="D129" s="1"/>
    </row>
    <row r="130" spans="1:4" x14ac:dyDescent="0.25">
      <c r="A130" s="13" t="s">
        <v>17</v>
      </c>
      <c r="B130" s="19">
        <v>4</v>
      </c>
      <c r="C130" s="1"/>
      <c r="D130" s="1"/>
    </row>
    <row r="131" spans="1:4" x14ac:dyDescent="0.25">
      <c r="A131" s="13" t="s">
        <v>17</v>
      </c>
      <c r="B131" s="19">
        <v>10</v>
      </c>
      <c r="C131" s="1"/>
      <c r="D131" s="1"/>
    </row>
    <row r="132" spans="1:4" x14ac:dyDescent="0.25">
      <c r="A132" s="13"/>
      <c r="B132" s="19"/>
      <c r="C132" s="1"/>
      <c r="D132" s="1"/>
    </row>
    <row r="133" spans="1:4" x14ac:dyDescent="0.25">
      <c r="A133" s="13" t="s">
        <v>18</v>
      </c>
      <c r="B133" s="19">
        <v>1</v>
      </c>
      <c r="C133" s="1"/>
      <c r="D133" s="1"/>
    </row>
    <row r="134" spans="1:4" x14ac:dyDescent="0.25">
      <c r="A134" s="13" t="s">
        <v>18</v>
      </c>
      <c r="B134" s="19">
        <v>4</v>
      </c>
      <c r="C134" s="1"/>
      <c r="D134" s="1"/>
    </row>
    <row r="135" spans="1:4" x14ac:dyDescent="0.25">
      <c r="A135" s="13" t="s">
        <v>18</v>
      </c>
      <c r="B135" s="19">
        <v>10</v>
      </c>
      <c r="C135" s="1"/>
      <c r="D135" s="1"/>
    </row>
    <row r="136" spans="1:4" x14ac:dyDescent="0.25">
      <c r="A136" s="13" t="s">
        <v>18</v>
      </c>
      <c r="B136" s="19">
        <v>20</v>
      </c>
      <c r="C136" s="1"/>
      <c r="D136" s="1"/>
    </row>
    <row r="137" spans="1:4" x14ac:dyDescent="0.25">
      <c r="A137" s="13" t="s">
        <v>19</v>
      </c>
      <c r="B137" s="19">
        <v>1</v>
      </c>
      <c r="C137" s="1"/>
      <c r="D137" s="1"/>
    </row>
    <row r="138" spans="1:4" x14ac:dyDescent="0.25">
      <c r="A138" s="13" t="s">
        <v>19</v>
      </c>
      <c r="B138" s="19">
        <v>4</v>
      </c>
      <c r="C138" s="1"/>
      <c r="D138" s="1"/>
    </row>
    <row r="139" spans="1:4" x14ac:dyDescent="0.25">
      <c r="A139" s="13" t="s">
        <v>19</v>
      </c>
      <c r="B139" s="19">
        <v>10</v>
      </c>
      <c r="C139" s="1"/>
      <c r="D139" s="1"/>
    </row>
    <row r="140" spans="1:4" x14ac:dyDescent="0.25">
      <c r="A140" s="13" t="s">
        <v>19</v>
      </c>
      <c r="B140" s="19">
        <v>20</v>
      </c>
      <c r="C140" s="1"/>
      <c r="D140" s="1"/>
    </row>
    <row r="141" spans="1:4" x14ac:dyDescent="0.25">
      <c r="A141" s="13" t="s">
        <v>20</v>
      </c>
      <c r="B141" s="19">
        <v>1</v>
      </c>
      <c r="C141" s="1"/>
      <c r="D141" s="1"/>
    </row>
    <row r="142" spans="1:4" x14ac:dyDescent="0.25">
      <c r="A142" s="13" t="s">
        <v>20</v>
      </c>
      <c r="B142" s="19">
        <v>4</v>
      </c>
      <c r="C142" s="1"/>
      <c r="D142" s="1"/>
    </row>
    <row r="143" spans="1:4" x14ac:dyDescent="0.25">
      <c r="A143" s="13" t="s">
        <v>20</v>
      </c>
      <c r="B143" s="19">
        <v>10</v>
      </c>
      <c r="C143" s="1"/>
      <c r="D143" s="1"/>
    </row>
    <row r="144" spans="1:4" x14ac:dyDescent="0.25">
      <c r="A144" s="13" t="s">
        <v>20</v>
      </c>
      <c r="B144" s="19">
        <v>20</v>
      </c>
      <c r="C144" s="1"/>
      <c r="D144" s="1"/>
    </row>
    <row r="145" spans="1:4" x14ac:dyDescent="0.25">
      <c r="A145" s="13"/>
      <c r="B145" s="19"/>
      <c r="C145" s="1" t="s">
        <v>339</v>
      </c>
      <c r="D145" s="1" t="s">
        <v>340</v>
      </c>
    </row>
    <row r="146" spans="1:4" x14ac:dyDescent="0.25">
      <c r="A146" s="13" t="s">
        <v>366</v>
      </c>
      <c r="B146" s="19">
        <v>1</v>
      </c>
      <c r="C146" s="1"/>
      <c r="D146" s="1"/>
    </row>
    <row r="147" spans="1:4" x14ac:dyDescent="0.25">
      <c r="A147" s="13" t="s">
        <v>366</v>
      </c>
      <c r="B147" s="19">
        <v>4</v>
      </c>
      <c r="C147" s="1"/>
      <c r="D147" s="1"/>
    </row>
    <row r="148" spans="1:4" x14ac:dyDescent="0.25">
      <c r="A148" s="13" t="s">
        <v>366</v>
      </c>
      <c r="B148" s="19">
        <v>10</v>
      </c>
      <c r="C148" s="1"/>
      <c r="D148" s="1"/>
    </row>
    <row r="149" spans="1:4" x14ac:dyDescent="0.25">
      <c r="A149" s="13" t="s">
        <v>366</v>
      </c>
      <c r="B149" s="19">
        <v>20</v>
      </c>
      <c r="C149" s="1"/>
      <c r="D149" s="1"/>
    </row>
    <row r="150" spans="1:4" x14ac:dyDescent="0.25">
      <c r="A150" s="13" t="s">
        <v>367</v>
      </c>
      <c r="B150" s="19">
        <v>1</v>
      </c>
      <c r="C150" s="1"/>
      <c r="D150" s="1"/>
    </row>
    <row r="151" spans="1:4" x14ac:dyDescent="0.25">
      <c r="A151" s="13" t="s">
        <v>367</v>
      </c>
      <c r="B151" s="19">
        <v>4</v>
      </c>
      <c r="C151" s="1"/>
      <c r="D151" s="1"/>
    </row>
    <row r="152" spans="1:4" x14ac:dyDescent="0.25">
      <c r="A152" s="13" t="s">
        <v>367</v>
      </c>
      <c r="B152" s="19">
        <v>10</v>
      </c>
      <c r="C152" s="1"/>
      <c r="D152" s="1"/>
    </row>
    <row r="153" spans="1:4" x14ac:dyDescent="0.25">
      <c r="A153" s="13" t="s">
        <v>367</v>
      </c>
      <c r="B153" s="19">
        <v>20</v>
      </c>
      <c r="C153" s="1"/>
      <c r="D153" s="1"/>
    </row>
    <row r="154" spans="1:4" x14ac:dyDescent="0.25">
      <c r="A154" s="13" t="s">
        <v>368</v>
      </c>
      <c r="B154" s="19">
        <v>1</v>
      </c>
      <c r="C154" s="1"/>
      <c r="D154" s="1"/>
    </row>
    <row r="155" spans="1:4" x14ac:dyDescent="0.25">
      <c r="A155" s="13" t="s">
        <v>368</v>
      </c>
      <c r="B155" s="19">
        <v>4</v>
      </c>
      <c r="C155" s="1"/>
      <c r="D155" s="1"/>
    </row>
    <row r="156" spans="1:4" x14ac:dyDescent="0.25">
      <c r="A156" s="13" t="s">
        <v>368</v>
      </c>
      <c r="B156" s="19">
        <v>10</v>
      </c>
      <c r="C156" s="1"/>
      <c r="D156" s="1"/>
    </row>
    <row r="157" spans="1:4" x14ac:dyDescent="0.25">
      <c r="A157" s="13" t="s">
        <v>368</v>
      </c>
      <c r="B157" s="19">
        <v>20</v>
      </c>
      <c r="C157" s="1"/>
      <c r="D157" s="1"/>
    </row>
    <row r="158" spans="1:4" x14ac:dyDescent="0.25">
      <c r="A158" s="13" t="s">
        <v>369</v>
      </c>
      <c r="B158" s="19">
        <v>1</v>
      </c>
      <c r="C158" s="1"/>
      <c r="D158" s="1"/>
    </row>
    <row r="159" spans="1:4" x14ac:dyDescent="0.25">
      <c r="A159" s="13" t="s">
        <v>369</v>
      </c>
      <c r="B159" s="19">
        <v>4</v>
      </c>
      <c r="C159" s="1"/>
      <c r="D159" s="1"/>
    </row>
    <row r="160" spans="1:4" x14ac:dyDescent="0.25">
      <c r="A160" s="13" t="s">
        <v>369</v>
      </c>
      <c r="B160" s="19">
        <v>10</v>
      </c>
      <c r="C160" s="1"/>
      <c r="D160" s="1"/>
    </row>
    <row r="161" spans="1:4" x14ac:dyDescent="0.25">
      <c r="A161" s="13" t="s">
        <v>369</v>
      </c>
      <c r="B161" s="19">
        <v>20</v>
      </c>
      <c r="C161" s="1"/>
      <c r="D161" s="1"/>
    </row>
    <row r="162" spans="1:4" x14ac:dyDescent="0.25">
      <c r="A162" s="13" t="s">
        <v>370</v>
      </c>
      <c r="B162" s="19">
        <v>1</v>
      </c>
      <c r="C162" s="1"/>
      <c r="D162" s="1"/>
    </row>
    <row r="163" spans="1:4" x14ac:dyDescent="0.25">
      <c r="A163" s="13" t="s">
        <v>23</v>
      </c>
      <c r="B163" s="19">
        <v>4</v>
      </c>
      <c r="C163" s="1"/>
      <c r="D163" s="1"/>
    </row>
    <row r="164" spans="1:4" x14ac:dyDescent="0.25">
      <c r="A164" s="13" t="s">
        <v>23</v>
      </c>
      <c r="B164" s="19">
        <v>10</v>
      </c>
      <c r="C164" s="1"/>
      <c r="D164" s="1"/>
    </row>
    <row r="165" spans="1:4" x14ac:dyDescent="0.25">
      <c r="A165" s="13" t="s">
        <v>370</v>
      </c>
      <c r="B165" s="19">
        <v>20</v>
      </c>
      <c r="C165" s="1"/>
      <c r="D165" s="1"/>
    </row>
    <row r="166" spans="1:4" x14ac:dyDescent="0.25">
      <c r="A166" s="13"/>
      <c r="B166" s="1"/>
      <c r="C166" s="1" t="s">
        <v>339</v>
      </c>
      <c r="D166" s="1" t="s">
        <v>340</v>
      </c>
    </row>
    <row r="167" spans="1:4" x14ac:dyDescent="0.25">
      <c r="A167" s="13" t="s">
        <v>371</v>
      </c>
      <c r="B167" s="19">
        <v>1</v>
      </c>
      <c r="C167" s="1"/>
      <c r="D167" s="1"/>
    </row>
    <row r="168" spans="1:4" x14ac:dyDescent="0.25">
      <c r="A168" s="13" t="s">
        <v>371</v>
      </c>
      <c r="B168" s="19">
        <v>4</v>
      </c>
      <c r="C168" s="1"/>
      <c r="D168" s="1"/>
    </row>
    <row r="169" spans="1:4" x14ac:dyDescent="0.25">
      <c r="A169" s="13" t="s">
        <v>371</v>
      </c>
      <c r="B169" s="19">
        <v>10</v>
      </c>
      <c r="C169" s="1"/>
      <c r="D169" s="1"/>
    </row>
    <row r="170" spans="1:4" x14ac:dyDescent="0.25">
      <c r="A170" s="13" t="s">
        <v>371</v>
      </c>
      <c r="B170" s="19">
        <v>20</v>
      </c>
      <c r="C170" s="1"/>
      <c r="D170" s="1"/>
    </row>
    <row r="171" spans="1:4" x14ac:dyDescent="0.25">
      <c r="A171" s="13" t="s">
        <v>372</v>
      </c>
      <c r="B171" s="19">
        <v>1</v>
      </c>
      <c r="C171" s="1"/>
      <c r="D171" s="1"/>
    </row>
    <row r="172" spans="1:4" x14ac:dyDescent="0.25">
      <c r="A172" s="13" t="s">
        <v>372</v>
      </c>
      <c r="B172" s="19">
        <v>4</v>
      </c>
      <c r="C172" s="1"/>
      <c r="D172" s="1"/>
    </row>
    <row r="173" spans="1:4" x14ac:dyDescent="0.25">
      <c r="A173" s="13" t="s">
        <v>372</v>
      </c>
      <c r="B173" s="19">
        <v>10</v>
      </c>
      <c r="C173" s="1"/>
      <c r="D173" s="1"/>
    </row>
    <row r="174" spans="1:4" x14ac:dyDescent="0.25">
      <c r="A174" s="13" t="s">
        <v>372</v>
      </c>
      <c r="B174" s="19">
        <v>20</v>
      </c>
      <c r="C174" s="1"/>
      <c r="D174" s="1"/>
    </row>
    <row r="175" spans="1:4" x14ac:dyDescent="0.25">
      <c r="A175" s="13" t="s">
        <v>28</v>
      </c>
      <c r="B175" s="19">
        <v>1</v>
      </c>
      <c r="C175" s="1"/>
      <c r="D175" s="1"/>
    </row>
    <row r="176" spans="1:4" x14ac:dyDescent="0.25">
      <c r="A176" s="13" t="s">
        <v>28</v>
      </c>
      <c r="B176" s="19">
        <v>4</v>
      </c>
      <c r="C176" s="1"/>
      <c r="D176" s="1"/>
    </row>
    <row r="177" spans="1:4" x14ac:dyDescent="0.25">
      <c r="A177" s="13" t="s">
        <v>28</v>
      </c>
      <c r="B177" s="19">
        <v>10</v>
      </c>
      <c r="C177" s="1"/>
      <c r="D177" s="1"/>
    </row>
    <row r="178" spans="1:4" x14ac:dyDescent="0.25">
      <c r="A178" s="13" t="s">
        <v>28</v>
      </c>
      <c r="B178" s="19">
        <v>20</v>
      </c>
      <c r="C178" s="1"/>
      <c r="D178" s="1"/>
    </row>
    <row r="179" spans="1:4" x14ac:dyDescent="0.25">
      <c r="A179" s="13" t="s">
        <v>373</v>
      </c>
      <c r="B179" s="19">
        <v>1</v>
      </c>
      <c r="C179" s="1"/>
      <c r="D179" s="1"/>
    </row>
    <row r="180" spans="1:4" x14ac:dyDescent="0.25">
      <c r="A180" s="13" t="s">
        <v>373</v>
      </c>
      <c r="B180" s="19">
        <v>4</v>
      </c>
      <c r="C180" s="1"/>
      <c r="D180" s="1"/>
    </row>
    <row r="181" spans="1:4" x14ac:dyDescent="0.25">
      <c r="A181" s="13" t="s">
        <v>373</v>
      </c>
      <c r="B181" s="19">
        <v>10</v>
      </c>
      <c r="C181" s="1"/>
      <c r="D181" s="1"/>
    </row>
    <row r="182" spans="1:4" x14ac:dyDescent="0.25">
      <c r="A182" s="13" t="s">
        <v>373</v>
      </c>
      <c r="B182" s="19">
        <v>20</v>
      </c>
      <c r="C182" s="1"/>
      <c r="D182" s="1"/>
    </row>
    <row r="183" spans="1:4" x14ac:dyDescent="0.25">
      <c r="A183" s="13" t="s">
        <v>374</v>
      </c>
      <c r="B183" s="19">
        <v>1</v>
      </c>
      <c r="C183" s="1"/>
      <c r="D183" s="1"/>
    </row>
    <row r="184" spans="1:4" x14ac:dyDescent="0.25">
      <c r="A184" s="13" t="s">
        <v>374</v>
      </c>
      <c r="B184" s="19">
        <v>4</v>
      </c>
      <c r="C184" s="1"/>
      <c r="D184" s="1"/>
    </row>
    <row r="185" spans="1:4" x14ac:dyDescent="0.25">
      <c r="A185" s="13" t="s">
        <v>374</v>
      </c>
      <c r="B185" s="19">
        <v>10</v>
      </c>
      <c r="C185" s="1"/>
      <c r="D185" s="1"/>
    </row>
    <row r="186" spans="1:4" x14ac:dyDescent="0.25">
      <c r="A186" s="13" t="s">
        <v>374</v>
      </c>
      <c r="B186" s="19">
        <v>20</v>
      </c>
      <c r="C186" s="1"/>
      <c r="D186" s="1"/>
    </row>
    <row r="187" spans="1:4" x14ac:dyDescent="0.25">
      <c r="A187" s="13" t="s">
        <v>30</v>
      </c>
      <c r="B187" s="19">
        <v>1</v>
      </c>
      <c r="C187" s="1"/>
      <c r="D187" s="1"/>
    </row>
    <row r="188" spans="1:4" x14ac:dyDescent="0.25">
      <c r="A188" s="13" t="s">
        <v>30</v>
      </c>
      <c r="B188" s="19">
        <v>4</v>
      </c>
      <c r="C188" s="1"/>
      <c r="D188" s="1"/>
    </row>
    <row r="189" spans="1:4" x14ac:dyDescent="0.25">
      <c r="A189" s="13" t="s">
        <v>375</v>
      </c>
      <c r="B189" s="19">
        <v>10</v>
      </c>
      <c r="C189" s="1"/>
      <c r="D189" s="1"/>
    </row>
    <row r="190" spans="1:4" x14ac:dyDescent="0.25">
      <c r="A190" s="13" t="s">
        <v>30</v>
      </c>
      <c r="B190" s="19">
        <v>20</v>
      </c>
      <c r="C190" s="1"/>
      <c r="D190" s="1"/>
    </row>
    <row r="191" spans="1:4" x14ac:dyDescent="0.25">
      <c r="A191" s="13" t="s">
        <v>375</v>
      </c>
      <c r="B191" s="19">
        <v>1</v>
      </c>
      <c r="C191" s="1"/>
      <c r="D191" s="1"/>
    </row>
    <row r="192" spans="1:4" x14ac:dyDescent="0.25">
      <c r="A192" s="13" t="s">
        <v>375</v>
      </c>
      <c r="B192" s="19">
        <v>4</v>
      </c>
      <c r="C192" s="1"/>
      <c r="D192" s="1"/>
    </row>
    <row r="193" spans="1:4" x14ac:dyDescent="0.25">
      <c r="A193" s="13" t="s">
        <v>375</v>
      </c>
      <c r="B193" s="19">
        <v>10</v>
      </c>
      <c r="C193" s="1"/>
      <c r="D193" s="1"/>
    </row>
    <row r="194" spans="1:4" x14ac:dyDescent="0.25">
      <c r="A194" s="13" t="s">
        <v>375</v>
      </c>
      <c r="B194" s="19">
        <v>20</v>
      </c>
      <c r="C194" s="1"/>
      <c r="D194" s="1"/>
    </row>
    <row r="195" spans="1:4" x14ac:dyDescent="0.25">
      <c r="A195" s="13"/>
      <c r="B195" s="19"/>
      <c r="C195" s="1" t="s">
        <v>339</v>
      </c>
      <c r="D195" s="1" t="s">
        <v>340</v>
      </c>
    </row>
    <row r="196" spans="1:4" x14ac:dyDescent="0.25">
      <c r="A196" s="13"/>
      <c r="B196" s="19"/>
      <c r="C196" s="1"/>
      <c r="D196" s="1"/>
    </row>
    <row r="197" spans="1:4" x14ac:dyDescent="0.25">
      <c r="A197" s="13" t="s">
        <v>376</v>
      </c>
      <c r="B197" s="19">
        <v>1</v>
      </c>
      <c r="C197" s="1"/>
      <c r="D197" s="1"/>
    </row>
    <row r="198" spans="1:4" x14ac:dyDescent="0.25">
      <c r="A198" s="13" t="s">
        <v>376</v>
      </c>
      <c r="B198" s="19">
        <v>4</v>
      </c>
      <c r="C198" s="1"/>
      <c r="D198" s="1"/>
    </row>
    <row r="199" spans="1:4" x14ac:dyDescent="0.25">
      <c r="A199" s="13" t="s">
        <v>376</v>
      </c>
      <c r="B199" s="19">
        <v>10</v>
      </c>
      <c r="C199" s="1"/>
      <c r="D199" s="1"/>
    </row>
    <row r="200" spans="1:4" x14ac:dyDescent="0.25">
      <c r="A200" s="13" t="s">
        <v>376</v>
      </c>
      <c r="B200" s="19">
        <v>20</v>
      </c>
      <c r="C200" s="1"/>
      <c r="D200" s="1"/>
    </row>
    <row r="201" spans="1:4" x14ac:dyDescent="0.25">
      <c r="A201" s="13" t="s">
        <v>377</v>
      </c>
      <c r="B201" s="19">
        <v>1</v>
      </c>
      <c r="C201" s="1"/>
      <c r="D201" s="1"/>
    </row>
    <row r="202" spans="1:4" x14ac:dyDescent="0.25">
      <c r="A202" s="13" t="s">
        <v>377</v>
      </c>
      <c r="B202" s="19">
        <v>4</v>
      </c>
      <c r="C202" s="1"/>
      <c r="D202" s="1"/>
    </row>
    <row r="203" spans="1:4" x14ac:dyDescent="0.25">
      <c r="A203" s="13" t="s">
        <v>377</v>
      </c>
      <c r="B203" s="19">
        <v>10</v>
      </c>
      <c r="C203" s="1"/>
      <c r="D203" s="1"/>
    </row>
    <row r="204" spans="1:4" x14ac:dyDescent="0.25">
      <c r="A204" s="13" t="s">
        <v>377</v>
      </c>
      <c r="B204" s="19">
        <v>20</v>
      </c>
      <c r="C204" s="1"/>
      <c r="D204" s="1"/>
    </row>
    <row r="205" spans="1:4" x14ac:dyDescent="0.25">
      <c r="A205" s="13" t="s">
        <v>378</v>
      </c>
      <c r="B205" s="19">
        <v>1</v>
      </c>
      <c r="C205" s="1"/>
      <c r="D205" s="1"/>
    </row>
    <row r="206" spans="1:4" x14ac:dyDescent="0.25">
      <c r="A206" s="13" t="s">
        <v>378</v>
      </c>
      <c r="B206" s="19">
        <v>4</v>
      </c>
      <c r="C206" s="1"/>
      <c r="D206" s="1"/>
    </row>
    <row r="207" spans="1:4" x14ac:dyDescent="0.25">
      <c r="A207" s="13" t="s">
        <v>378</v>
      </c>
      <c r="B207" s="19">
        <v>10</v>
      </c>
      <c r="C207" s="1"/>
      <c r="D207" s="1"/>
    </row>
    <row r="208" spans="1:4" x14ac:dyDescent="0.25">
      <c r="A208" s="13" t="s">
        <v>378</v>
      </c>
      <c r="B208" s="19">
        <v>20</v>
      </c>
      <c r="C208" s="1"/>
      <c r="D208" s="1"/>
    </row>
    <row r="209" spans="1:4" x14ac:dyDescent="0.25">
      <c r="A209" s="13" t="s">
        <v>379</v>
      </c>
      <c r="B209" s="19">
        <v>1</v>
      </c>
      <c r="C209" s="1"/>
      <c r="D209" s="1"/>
    </row>
    <row r="210" spans="1:4" x14ac:dyDescent="0.25">
      <c r="A210" s="13" t="s">
        <v>379</v>
      </c>
      <c r="B210" s="19">
        <v>4</v>
      </c>
      <c r="C210" s="1"/>
      <c r="D210" s="1"/>
    </row>
    <row r="211" spans="1:4" x14ac:dyDescent="0.25">
      <c r="A211" s="13" t="s">
        <v>379</v>
      </c>
      <c r="B211" s="19">
        <v>10</v>
      </c>
      <c r="C211" s="1"/>
      <c r="D211" s="1"/>
    </row>
    <row r="212" spans="1:4" x14ac:dyDescent="0.25">
      <c r="A212" s="13" t="s">
        <v>379</v>
      </c>
      <c r="B212" s="19">
        <v>20</v>
      </c>
      <c r="C212" s="1"/>
      <c r="D212" s="1"/>
    </row>
    <row r="213" spans="1:4" x14ac:dyDescent="0.25">
      <c r="A213" s="13" t="s">
        <v>380</v>
      </c>
      <c r="B213" s="19">
        <v>1</v>
      </c>
      <c r="C213" s="1"/>
      <c r="D213" s="1"/>
    </row>
    <row r="214" spans="1:4" x14ac:dyDescent="0.25">
      <c r="A214" s="13" t="s">
        <v>380</v>
      </c>
      <c r="B214" s="19">
        <v>4</v>
      </c>
      <c r="C214" s="1"/>
      <c r="D214" s="1"/>
    </row>
    <row r="215" spans="1:4" x14ac:dyDescent="0.25">
      <c r="A215" s="13" t="s">
        <v>380</v>
      </c>
      <c r="B215" s="19">
        <v>10</v>
      </c>
      <c r="C215" s="1"/>
      <c r="D215" s="1"/>
    </row>
    <row r="216" spans="1:4" x14ac:dyDescent="0.25">
      <c r="A216" s="13" t="s">
        <v>380</v>
      </c>
      <c r="B216" s="19">
        <v>20</v>
      </c>
      <c r="C216" s="1"/>
      <c r="D216" s="1"/>
    </row>
    <row r="217" spans="1:4" x14ac:dyDescent="0.25">
      <c r="A217" s="13" t="s">
        <v>32</v>
      </c>
      <c r="B217" s="19">
        <v>1</v>
      </c>
      <c r="C217" s="1"/>
      <c r="D217" s="1"/>
    </row>
    <row r="218" spans="1:4" x14ac:dyDescent="0.25">
      <c r="A218" s="13" t="s">
        <v>32</v>
      </c>
      <c r="B218" s="19">
        <v>4</v>
      </c>
      <c r="C218" s="1"/>
      <c r="D218" s="1"/>
    </row>
    <row r="219" spans="1:4" x14ac:dyDescent="0.25">
      <c r="A219" s="13" t="s">
        <v>32</v>
      </c>
      <c r="B219" s="19">
        <v>10</v>
      </c>
      <c r="C219" s="1"/>
      <c r="D219" s="1"/>
    </row>
    <row r="220" spans="1:4" x14ac:dyDescent="0.25">
      <c r="A220" s="13" t="s">
        <v>32</v>
      </c>
      <c r="B220" s="19">
        <v>20</v>
      </c>
      <c r="C220" s="1"/>
      <c r="D220" s="1"/>
    </row>
    <row r="221" spans="1:4" x14ac:dyDescent="0.25">
      <c r="A221" s="13" t="s">
        <v>381</v>
      </c>
      <c r="B221" s="19">
        <v>1</v>
      </c>
      <c r="C221" s="1"/>
      <c r="D221" s="1"/>
    </row>
    <row r="222" spans="1:4" x14ac:dyDescent="0.25">
      <c r="A222" s="13" t="s">
        <v>381</v>
      </c>
      <c r="B222" s="19">
        <v>4</v>
      </c>
      <c r="C222" s="1"/>
      <c r="D222" s="1"/>
    </row>
    <row r="223" spans="1:4" x14ac:dyDescent="0.25">
      <c r="A223" s="13" t="s">
        <v>381</v>
      </c>
      <c r="B223" s="19">
        <v>10</v>
      </c>
      <c r="C223" s="1"/>
      <c r="D223" s="1"/>
    </row>
    <row r="224" spans="1:4" x14ac:dyDescent="0.25">
      <c r="A224" s="13" t="s">
        <v>381</v>
      </c>
      <c r="B224" s="19">
        <v>20</v>
      </c>
      <c r="C224" s="1"/>
      <c r="D224" s="1"/>
    </row>
    <row r="225" spans="1:4" x14ac:dyDescent="0.25">
      <c r="A225" s="13"/>
      <c r="B225" s="19"/>
      <c r="C225" s="1" t="s">
        <v>339</v>
      </c>
      <c r="D225" s="1" t="s">
        <v>340</v>
      </c>
    </row>
    <row r="226" spans="1:4" x14ac:dyDescent="0.25">
      <c r="A226" s="13" t="s">
        <v>382</v>
      </c>
      <c r="B226" s="19">
        <v>1</v>
      </c>
      <c r="C226" s="1"/>
      <c r="D226" s="1"/>
    </row>
    <row r="227" spans="1:4" x14ac:dyDescent="0.25">
      <c r="A227" s="13" t="s">
        <v>382</v>
      </c>
      <c r="B227" s="19">
        <v>4</v>
      </c>
      <c r="C227" s="1"/>
      <c r="D227" s="1"/>
    </row>
    <row r="228" spans="1:4" x14ac:dyDescent="0.25">
      <c r="A228" s="13" t="s">
        <v>382</v>
      </c>
      <c r="B228" s="19">
        <v>10</v>
      </c>
      <c r="C228" s="1"/>
      <c r="D228" s="1"/>
    </row>
    <row r="229" spans="1:4" x14ac:dyDescent="0.25">
      <c r="A229" s="13" t="s">
        <v>382</v>
      </c>
      <c r="B229" s="19">
        <v>20</v>
      </c>
      <c r="C229" s="1"/>
      <c r="D229" s="1"/>
    </row>
    <row r="230" spans="1:4" x14ac:dyDescent="0.25">
      <c r="A230" s="13" t="s">
        <v>383</v>
      </c>
      <c r="B230" s="19">
        <v>1</v>
      </c>
      <c r="C230" s="1"/>
      <c r="D230" s="1"/>
    </row>
    <row r="231" spans="1:4" x14ac:dyDescent="0.25">
      <c r="A231" s="13" t="s">
        <v>383</v>
      </c>
      <c r="B231" s="19">
        <v>4</v>
      </c>
      <c r="C231" s="1"/>
      <c r="D231" s="1"/>
    </row>
    <row r="232" spans="1:4" x14ac:dyDescent="0.25">
      <c r="A232" s="13" t="s">
        <v>383</v>
      </c>
      <c r="B232" s="19">
        <v>10</v>
      </c>
      <c r="C232" s="1"/>
      <c r="D232" s="1"/>
    </row>
    <row r="233" spans="1:4" x14ac:dyDescent="0.25">
      <c r="A233" s="13" t="s">
        <v>383</v>
      </c>
      <c r="B233" s="19">
        <v>20</v>
      </c>
      <c r="C233" s="1"/>
      <c r="D233" s="1"/>
    </row>
    <row r="234" spans="1:4" x14ac:dyDescent="0.25">
      <c r="A234" s="13" t="s">
        <v>384</v>
      </c>
      <c r="B234" s="19">
        <v>1</v>
      </c>
      <c r="C234" s="1"/>
      <c r="D234" s="1"/>
    </row>
    <row r="235" spans="1:4" x14ac:dyDescent="0.25">
      <c r="A235" s="13" t="s">
        <v>384</v>
      </c>
      <c r="B235" s="19">
        <v>4</v>
      </c>
      <c r="C235" s="1"/>
      <c r="D235" s="1"/>
    </row>
    <row r="236" spans="1:4" x14ac:dyDescent="0.25">
      <c r="A236" s="13" t="s">
        <v>384</v>
      </c>
      <c r="B236" s="19">
        <v>10</v>
      </c>
      <c r="C236" s="1"/>
      <c r="D236" s="1"/>
    </row>
    <row r="237" spans="1:4" x14ac:dyDescent="0.25">
      <c r="A237" s="13" t="s">
        <v>384</v>
      </c>
      <c r="B237" s="19">
        <v>20</v>
      </c>
      <c r="C237" s="1"/>
      <c r="D237" s="1"/>
    </row>
    <row r="238" spans="1:4" x14ac:dyDescent="0.25">
      <c r="A238" s="13" t="s">
        <v>385</v>
      </c>
      <c r="B238" s="19">
        <v>0.9</v>
      </c>
      <c r="C238" s="1"/>
      <c r="D238" s="1"/>
    </row>
    <row r="239" spans="1:4" x14ac:dyDescent="0.25">
      <c r="A239" s="13" t="s">
        <v>385</v>
      </c>
      <c r="B239" s="19">
        <v>3.6</v>
      </c>
      <c r="C239" s="1"/>
      <c r="D239" s="1"/>
    </row>
    <row r="240" spans="1:4" x14ac:dyDescent="0.25">
      <c r="A240" s="13" t="s">
        <v>385</v>
      </c>
      <c r="B240" s="19">
        <v>9</v>
      </c>
      <c r="C240" s="1"/>
      <c r="D240" s="1"/>
    </row>
    <row r="241" spans="1:4" x14ac:dyDescent="0.25">
      <c r="A241" s="13" t="s">
        <v>385</v>
      </c>
      <c r="B241" s="19">
        <v>18</v>
      </c>
      <c r="C241" s="1"/>
      <c r="D241" s="1"/>
    </row>
    <row r="242" spans="1:4" x14ac:dyDescent="0.25">
      <c r="A242" s="13" t="s">
        <v>386</v>
      </c>
      <c r="B242" s="19">
        <v>1</v>
      </c>
      <c r="C242" s="1"/>
      <c r="D242" s="1"/>
    </row>
    <row r="243" spans="1:4" x14ac:dyDescent="0.25">
      <c r="A243" s="13" t="s">
        <v>386</v>
      </c>
      <c r="B243" s="19">
        <v>4</v>
      </c>
      <c r="C243" s="1"/>
      <c r="D243" s="1"/>
    </row>
    <row r="244" spans="1:4" x14ac:dyDescent="0.25">
      <c r="A244" s="13" t="s">
        <v>386</v>
      </c>
      <c r="B244" s="19">
        <v>10</v>
      </c>
      <c r="C244" s="1"/>
      <c r="D244" s="1"/>
    </row>
    <row r="245" spans="1:4" x14ac:dyDescent="0.25">
      <c r="A245" s="13" t="s">
        <v>386</v>
      </c>
      <c r="B245" s="19">
        <v>20</v>
      </c>
      <c r="C245" s="1"/>
      <c r="D245" s="1"/>
    </row>
    <row r="246" spans="1:4" x14ac:dyDescent="0.25">
      <c r="A246" s="13" t="s">
        <v>387</v>
      </c>
      <c r="B246" s="19">
        <v>1</v>
      </c>
      <c r="C246" s="1"/>
      <c r="D246" s="1"/>
    </row>
    <row r="247" spans="1:4" x14ac:dyDescent="0.25">
      <c r="A247" s="13" t="s">
        <v>387</v>
      </c>
      <c r="B247" s="19">
        <v>4</v>
      </c>
      <c r="C247" s="1"/>
      <c r="D247" s="1"/>
    </row>
    <row r="248" spans="1:4" x14ac:dyDescent="0.25">
      <c r="A248" s="13" t="s">
        <v>387</v>
      </c>
      <c r="B248" s="19">
        <v>10</v>
      </c>
      <c r="C248" s="1"/>
      <c r="D248" s="1"/>
    </row>
    <row r="249" spans="1:4" x14ac:dyDescent="0.25">
      <c r="A249" s="13" t="s">
        <v>387</v>
      </c>
      <c r="B249" s="19">
        <v>20</v>
      </c>
      <c r="C249" s="1"/>
      <c r="D249" s="1"/>
    </row>
    <row r="250" spans="1:4" x14ac:dyDescent="0.25">
      <c r="A250" s="13"/>
      <c r="B250" s="19"/>
      <c r="C250" s="1" t="s">
        <v>339</v>
      </c>
      <c r="D250" s="1" t="s">
        <v>340</v>
      </c>
    </row>
    <row r="251" spans="1:4" x14ac:dyDescent="0.25">
      <c r="A251" s="13" t="s">
        <v>37</v>
      </c>
      <c r="B251" s="19">
        <v>1</v>
      </c>
      <c r="C251" s="1"/>
      <c r="D251" s="1"/>
    </row>
    <row r="252" spans="1:4" x14ac:dyDescent="0.25">
      <c r="A252" s="13" t="s">
        <v>38</v>
      </c>
      <c r="B252" s="19">
        <v>4</v>
      </c>
      <c r="C252" s="1"/>
      <c r="D252" s="1"/>
    </row>
    <row r="253" spans="1:4" x14ac:dyDescent="0.25">
      <c r="A253" s="13" t="s">
        <v>38</v>
      </c>
      <c r="B253" s="19">
        <v>10</v>
      </c>
      <c r="C253" s="1"/>
      <c r="D253" s="1"/>
    </row>
    <row r="254" spans="1:4" x14ac:dyDescent="0.25">
      <c r="A254" s="13" t="s">
        <v>38</v>
      </c>
      <c r="B254" s="19">
        <v>20</v>
      </c>
      <c r="C254" s="1"/>
      <c r="D254" s="1"/>
    </row>
    <row r="255" spans="1:4" x14ac:dyDescent="0.25">
      <c r="A255" s="13" t="s">
        <v>388</v>
      </c>
      <c r="B255" s="19">
        <v>1</v>
      </c>
      <c r="C255" s="1"/>
      <c r="D255" s="1"/>
    </row>
    <row r="256" spans="1:4" x14ac:dyDescent="0.25">
      <c r="A256" s="13" t="s">
        <v>388</v>
      </c>
      <c r="B256" s="19">
        <v>4</v>
      </c>
      <c r="C256" s="1"/>
      <c r="D256" s="1"/>
    </row>
    <row r="257" spans="1:4" x14ac:dyDescent="0.25">
      <c r="A257" s="13" t="s">
        <v>388</v>
      </c>
      <c r="B257" s="19">
        <v>10</v>
      </c>
      <c r="C257" s="1"/>
      <c r="D257" s="1"/>
    </row>
    <row r="258" spans="1:4" x14ac:dyDescent="0.25">
      <c r="A258" s="13" t="s">
        <v>388</v>
      </c>
      <c r="B258" s="19">
        <v>20</v>
      </c>
      <c r="C258" s="1"/>
      <c r="D258" s="1"/>
    </row>
    <row r="259" spans="1:4" x14ac:dyDescent="0.25">
      <c r="A259" s="13" t="s">
        <v>389</v>
      </c>
      <c r="B259" s="19">
        <v>1</v>
      </c>
      <c r="C259" s="1"/>
      <c r="D259" s="1"/>
    </row>
    <row r="260" spans="1:4" x14ac:dyDescent="0.25">
      <c r="A260" s="13" t="s">
        <v>389</v>
      </c>
      <c r="B260" s="19">
        <v>4</v>
      </c>
      <c r="C260" s="1"/>
      <c r="D260" s="1"/>
    </row>
    <row r="261" spans="1:4" x14ac:dyDescent="0.25">
      <c r="A261" s="13" t="s">
        <v>389</v>
      </c>
      <c r="B261" s="19">
        <v>10</v>
      </c>
      <c r="C261" s="1"/>
      <c r="D261" s="1"/>
    </row>
    <row r="262" spans="1:4" x14ac:dyDescent="0.25">
      <c r="A262" s="13" t="s">
        <v>389</v>
      </c>
      <c r="B262" s="19">
        <v>20</v>
      </c>
      <c r="C262" s="1"/>
      <c r="D262" s="1"/>
    </row>
    <row r="263" spans="1:4" x14ac:dyDescent="0.25">
      <c r="A263" s="13" t="s">
        <v>390</v>
      </c>
      <c r="B263" s="19">
        <v>1</v>
      </c>
      <c r="C263" s="1"/>
      <c r="D263" s="1"/>
    </row>
    <row r="264" spans="1:4" x14ac:dyDescent="0.25">
      <c r="A264" s="13" t="s">
        <v>390</v>
      </c>
      <c r="B264" s="19">
        <v>4</v>
      </c>
      <c r="C264" s="1"/>
      <c r="D264" s="1"/>
    </row>
    <row r="265" spans="1:4" x14ac:dyDescent="0.25">
      <c r="A265" s="13" t="s">
        <v>390</v>
      </c>
      <c r="B265" s="19">
        <v>10</v>
      </c>
      <c r="C265" s="1"/>
      <c r="D265" s="1"/>
    </row>
    <row r="266" spans="1:4" x14ac:dyDescent="0.25">
      <c r="A266" s="13" t="s">
        <v>390</v>
      </c>
      <c r="B266" s="19">
        <v>20</v>
      </c>
      <c r="C266" s="1"/>
      <c r="D266" s="1"/>
    </row>
    <row r="267" spans="1:4" x14ac:dyDescent="0.25">
      <c r="A267" s="13" t="s">
        <v>40</v>
      </c>
      <c r="B267" s="19">
        <v>1</v>
      </c>
      <c r="C267" s="1"/>
      <c r="D267" s="1"/>
    </row>
    <row r="268" spans="1:4" x14ac:dyDescent="0.25">
      <c r="A268" s="13" t="s">
        <v>40</v>
      </c>
      <c r="B268" s="19">
        <v>4</v>
      </c>
      <c r="C268" s="1"/>
      <c r="D268" s="1"/>
    </row>
    <row r="269" spans="1:4" x14ac:dyDescent="0.25">
      <c r="A269" s="13" t="s">
        <v>40</v>
      </c>
      <c r="B269" s="19">
        <v>10</v>
      </c>
      <c r="C269" s="1"/>
      <c r="D269" s="1"/>
    </row>
    <row r="270" spans="1:4" x14ac:dyDescent="0.25">
      <c r="A270" s="13" t="s">
        <v>40</v>
      </c>
      <c r="B270" s="19">
        <v>20</v>
      </c>
      <c r="C270" s="1"/>
      <c r="D270" s="1"/>
    </row>
    <row r="271" spans="1:4" x14ac:dyDescent="0.25">
      <c r="A271" s="13"/>
      <c r="B271" s="19"/>
      <c r="C271" s="1" t="s">
        <v>339</v>
      </c>
      <c r="D271" s="1" t="s">
        <v>340</v>
      </c>
    </row>
    <row r="272" spans="1:4" x14ac:dyDescent="0.25">
      <c r="A272" s="13" t="s">
        <v>41</v>
      </c>
      <c r="B272" s="19">
        <v>1</v>
      </c>
      <c r="C272" s="1"/>
      <c r="D272" s="1"/>
    </row>
    <row r="273" spans="1:4" x14ac:dyDescent="0.25">
      <c r="A273" s="13" t="s">
        <v>41</v>
      </c>
      <c r="B273" s="19">
        <v>4</v>
      </c>
      <c r="C273" s="1"/>
      <c r="D273" s="1"/>
    </row>
    <row r="274" spans="1:4" x14ac:dyDescent="0.25">
      <c r="A274" s="13" t="s">
        <v>41</v>
      </c>
      <c r="B274" s="19">
        <v>10</v>
      </c>
      <c r="C274" s="1"/>
      <c r="D274" s="1"/>
    </row>
    <row r="275" spans="1:4" x14ac:dyDescent="0.25">
      <c r="A275" s="13" t="s">
        <v>41</v>
      </c>
      <c r="B275" s="19">
        <v>20</v>
      </c>
      <c r="C275" s="1"/>
      <c r="D275" s="1"/>
    </row>
    <row r="276" spans="1:4" x14ac:dyDescent="0.25">
      <c r="A276" s="13" t="s">
        <v>42</v>
      </c>
      <c r="B276" s="19">
        <v>1</v>
      </c>
      <c r="C276" s="1"/>
      <c r="D276" s="1"/>
    </row>
    <row r="277" spans="1:4" x14ac:dyDescent="0.25">
      <c r="A277" s="13" t="s">
        <v>42</v>
      </c>
      <c r="B277" s="19">
        <v>4</v>
      </c>
      <c r="C277" s="1"/>
      <c r="D277" s="1"/>
    </row>
    <row r="278" spans="1:4" x14ac:dyDescent="0.25">
      <c r="A278" s="13" t="s">
        <v>42</v>
      </c>
      <c r="B278" s="19">
        <v>10</v>
      </c>
      <c r="C278" s="1"/>
      <c r="D278" s="1"/>
    </row>
    <row r="279" spans="1:4" x14ac:dyDescent="0.25">
      <c r="A279" s="13" t="s">
        <v>42</v>
      </c>
      <c r="B279" s="19">
        <v>20</v>
      </c>
      <c r="C279" s="1"/>
      <c r="D279" s="1"/>
    </row>
    <row r="280" spans="1:4" x14ac:dyDescent="0.25">
      <c r="A280" s="13" t="s">
        <v>43</v>
      </c>
      <c r="B280" s="19">
        <v>1</v>
      </c>
      <c r="C280" s="1"/>
      <c r="D280" s="1"/>
    </row>
    <row r="281" spans="1:4" x14ac:dyDescent="0.25">
      <c r="A281" s="13" t="s">
        <v>43</v>
      </c>
      <c r="B281" s="19">
        <v>4</v>
      </c>
      <c r="C281" s="1"/>
      <c r="D281" s="1"/>
    </row>
    <row r="282" spans="1:4" x14ac:dyDescent="0.25">
      <c r="A282" s="13" t="s">
        <v>43</v>
      </c>
      <c r="B282" s="19">
        <v>10</v>
      </c>
      <c r="C282" s="1"/>
      <c r="D282" s="1"/>
    </row>
    <row r="283" spans="1:4" x14ac:dyDescent="0.25">
      <c r="A283" s="13" t="s">
        <v>43</v>
      </c>
      <c r="B283" s="19">
        <v>20</v>
      </c>
      <c r="C283" s="1"/>
      <c r="D283" s="1"/>
    </row>
    <row r="284" spans="1:4" x14ac:dyDescent="0.25">
      <c r="A284" s="13"/>
      <c r="B284" s="19"/>
      <c r="C284" s="1" t="s">
        <v>339</v>
      </c>
      <c r="D284" s="1" t="s">
        <v>340</v>
      </c>
    </row>
    <row r="285" spans="1:4" x14ac:dyDescent="0.25">
      <c r="A285" s="13" t="s">
        <v>44</v>
      </c>
      <c r="B285" s="19">
        <v>1</v>
      </c>
      <c r="C285" s="1"/>
      <c r="D285" s="1"/>
    </row>
    <row r="286" spans="1:4" x14ac:dyDescent="0.25">
      <c r="A286" s="13" t="s">
        <v>44</v>
      </c>
      <c r="B286" s="19">
        <v>4</v>
      </c>
      <c r="C286" s="1"/>
      <c r="D286" s="1"/>
    </row>
    <row r="287" spans="1:4" x14ac:dyDescent="0.25">
      <c r="A287" s="13" t="s">
        <v>44</v>
      </c>
      <c r="B287" s="19">
        <v>10</v>
      </c>
      <c r="C287" s="1"/>
      <c r="D287" s="1"/>
    </row>
    <row r="288" spans="1:4" x14ac:dyDescent="0.25">
      <c r="A288" s="13" t="s">
        <v>44</v>
      </c>
      <c r="B288" s="19">
        <v>20</v>
      </c>
      <c r="C288" s="1"/>
      <c r="D288" s="1"/>
    </row>
    <row r="289" spans="1:4" x14ac:dyDescent="0.25">
      <c r="A289" s="13" t="s">
        <v>45</v>
      </c>
      <c r="B289" s="19">
        <v>1</v>
      </c>
      <c r="C289" s="1"/>
      <c r="D289" s="1"/>
    </row>
    <row r="290" spans="1:4" x14ac:dyDescent="0.25">
      <c r="A290" s="13" t="s">
        <v>45</v>
      </c>
      <c r="B290" s="19">
        <v>4</v>
      </c>
      <c r="C290" s="1"/>
      <c r="D290" s="1"/>
    </row>
    <row r="291" spans="1:4" x14ac:dyDescent="0.25">
      <c r="A291" s="13" t="s">
        <v>45</v>
      </c>
      <c r="B291" s="19">
        <v>10</v>
      </c>
      <c r="C291" s="1"/>
      <c r="D291" s="1"/>
    </row>
    <row r="292" spans="1:4" x14ac:dyDescent="0.25">
      <c r="A292" s="13" t="s">
        <v>45</v>
      </c>
      <c r="B292" s="19">
        <v>20</v>
      </c>
      <c r="C292" s="1"/>
      <c r="D292" s="1"/>
    </row>
    <row r="293" spans="1:4" x14ac:dyDescent="0.25">
      <c r="A293" s="13" t="s">
        <v>46</v>
      </c>
      <c r="B293" s="19">
        <v>1</v>
      </c>
      <c r="C293" s="1"/>
      <c r="D293" s="1"/>
    </row>
    <row r="294" spans="1:4" x14ac:dyDescent="0.25">
      <c r="A294" s="13" t="s">
        <v>46</v>
      </c>
      <c r="B294" s="19">
        <v>4</v>
      </c>
      <c r="C294" s="1"/>
      <c r="D294" s="1"/>
    </row>
    <row r="295" spans="1:4" x14ac:dyDescent="0.25">
      <c r="A295" s="13" t="s">
        <v>46</v>
      </c>
      <c r="B295" s="19">
        <v>10</v>
      </c>
      <c r="C295" s="1"/>
      <c r="D295" s="1"/>
    </row>
    <row r="296" spans="1:4" x14ac:dyDescent="0.25">
      <c r="A296" s="13" t="s">
        <v>46</v>
      </c>
      <c r="B296" s="19">
        <v>20</v>
      </c>
      <c r="C296" s="1"/>
      <c r="D296" s="1"/>
    </row>
    <row r="297" spans="1:4" x14ac:dyDescent="0.25">
      <c r="A297" s="13"/>
      <c r="B297" s="19"/>
      <c r="C297" s="1" t="s">
        <v>339</v>
      </c>
      <c r="D297" s="1" t="s">
        <v>340</v>
      </c>
    </row>
    <row r="298" spans="1:4" x14ac:dyDescent="0.25">
      <c r="A298" s="13" t="s">
        <v>391</v>
      </c>
      <c r="B298" s="19">
        <v>1</v>
      </c>
      <c r="C298" s="1"/>
      <c r="D298" s="1"/>
    </row>
    <row r="299" spans="1:4" x14ac:dyDescent="0.25">
      <c r="A299" s="13" t="s">
        <v>391</v>
      </c>
      <c r="B299" s="19">
        <v>5</v>
      </c>
      <c r="C299" s="1"/>
      <c r="D299" s="1"/>
    </row>
    <row r="300" spans="1:4" x14ac:dyDescent="0.25">
      <c r="A300" s="13" t="s">
        <v>391</v>
      </c>
      <c r="B300" s="19">
        <v>10</v>
      </c>
      <c r="C300" s="1"/>
      <c r="D300" s="1"/>
    </row>
    <row r="301" spans="1:4" x14ac:dyDescent="0.25">
      <c r="A301" s="13" t="s">
        <v>391</v>
      </c>
      <c r="B301" s="19">
        <v>20</v>
      </c>
      <c r="C301" s="1"/>
      <c r="D301" s="1"/>
    </row>
    <row r="302" spans="1:4" x14ac:dyDescent="0.25">
      <c r="A302" s="13" t="s">
        <v>392</v>
      </c>
      <c r="B302" s="19">
        <v>1</v>
      </c>
      <c r="C302" s="1"/>
      <c r="D302" s="1"/>
    </row>
    <row r="303" spans="1:4" x14ac:dyDescent="0.25">
      <c r="A303" s="13" t="s">
        <v>392</v>
      </c>
      <c r="B303" s="19">
        <v>5</v>
      </c>
      <c r="C303" s="1"/>
      <c r="D303" s="1"/>
    </row>
    <row r="304" spans="1:4" x14ac:dyDescent="0.25">
      <c r="A304" s="13" t="s">
        <v>392</v>
      </c>
      <c r="B304" s="19">
        <v>10</v>
      </c>
      <c r="C304" s="1"/>
      <c r="D304" s="1"/>
    </row>
    <row r="305" spans="1:4" x14ac:dyDescent="0.25">
      <c r="A305" s="13" t="s">
        <v>392</v>
      </c>
      <c r="B305" s="19">
        <v>20</v>
      </c>
      <c r="C305" s="1"/>
      <c r="D305" s="1"/>
    </row>
    <row r="306" spans="1:4" x14ac:dyDescent="0.25">
      <c r="A306" s="13"/>
      <c r="B306" s="19"/>
      <c r="C306" s="1"/>
      <c r="D306" s="1"/>
    </row>
    <row r="307" spans="1:4" x14ac:dyDescent="0.25">
      <c r="A307" s="13" t="s">
        <v>48</v>
      </c>
      <c r="B307" s="19">
        <v>1</v>
      </c>
      <c r="C307" s="1"/>
      <c r="D307" s="1"/>
    </row>
    <row r="308" spans="1:4" x14ac:dyDescent="0.25">
      <c r="A308" s="13" t="s">
        <v>48</v>
      </c>
      <c r="B308" s="19">
        <v>5</v>
      </c>
      <c r="C308" s="1"/>
      <c r="D308" s="1"/>
    </row>
    <row r="309" spans="1:4" x14ac:dyDescent="0.25">
      <c r="A309" s="13" t="s">
        <v>48</v>
      </c>
      <c r="B309" s="19">
        <v>10</v>
      </c>
      <c r="C309" s="1"/>
      <c r="D309" s="1"/>
    </row>
    <row r="310" spans="1:4" x14ac:dyDescent="0.25">
      <c r="A310" s="13" t="s">
        <v>48</v>
      </c>
      <c r="B310" s="19">
        <v>20</v>
      </c>
      <c r="C310" s="1"/>
      <c r="D310" s="1"/>
    </row>
    <row r="311" spans="1:4" x14ac:dyDescent="0.25">
      <c r="A311" s="13"/>
      <c r="B311" s="19"/>
      <c r="C311" s="1"/>
      <c r="D311" s="1"/>
    </row>
    <row r="312" spans="1:4" x14ac:dyDescent="0.25">
      <c r="A312" s="13" t="s">
        <v>50</v>
      </c>
      <c r="B312" s="19">
        <v>1</v>
      </c>
      <c r="C312" s="1"/>
      <c r="D312" s="1"/>
    </row>
    <row r="313" spans="1:4" x14ac:dyDescent="0.25">
      <c r="A313" s="13" t="s">
        <v>50</v>
      </c>
      <c r="B313" s="19">
        <v>5</v>
      </c>
      <c r="C313" s="1"/>
      <c r="D313" s="1"/>
    </row>
    <row r="314" spans="1:4" x14ac:dyDescent="0.25">
      <c r="A314" s="13" t="s">
        <v>50</v>
      </c>
      <c r="B314" s="19">
        <v>10</v>
      </c>
      <c r="C314" s="1"/>
      <c r="D314" s="1"/>
    </row>
    <row r="315" spans="1:4" x14ac:dyDescent="0.25">
      <c r="A315" s="13" t="s">
        <v>50</v>
      </c>
      <c r="B315" s="19">
        <v>20</v>
      </c>
      <c r="C315" s="1"/>
      <c r="D315" s="1"/>
    </row>
    <row r="316" spans="1:4" x14ac:dyDescent="0.25">
      <c r="A316" s="13"/>
      <c r="B316" s="1"/>
      <c r="C316" s="1"/>
      <c r="D316" s="1"/>
    </row>
    <row r="317" spans="1:4" x14ac:dyDescent="0.25">
      <c r="A317" s="13" t="s">
        <v>51</v>
      </c>
      <c r="B317" s="19">
        <v>1</v>
      </c>
      <c r="C317" s="1"/>
      <c r="D317" s="1"/>
    </row>
    <row r="318" spans="1:4" x14ac:dyDescent="0.25">
      <c r="A318" s="13" t="s">
        <v>51</v>
      </c>
      <c r="B318" s="19">
        <v>4</v>
      </c>
      <c r="C318" s="1"/>
      <c r="D318" s="1"/>
    </row>
    <row r="319" spans="1:4" x14ac:dyDescent="0.25">
      <c r="A319" s="13" t="s">
        <v>51</v>
      </c>
      <c r="B319" s="19">
        <v>10</v>
      </c>
      <c r="C319" s="1"/>
      <c r="D319" s="1"/>
    </row>
    <row r="320" spans="1:4" x14ac:dyDescent="0.25">
      <c r="A320" s="13" t="s">
        <v>51</v>
      </c>
      <c r="B320" s="19">
        <v>20</v>
      </c>
      <c r="C320" s="1"/>
      <c r="D320" s="1"/>
    </row>
    <row r="321" spans="1:4" x14ac:dyDescent="0.25">
      <c r="A321" s="13"/>
      <c r="B321" s="1"/>
      <c r="C321" s="1"/>
      <c r="D321" s="1"/>
    </row>
    <row r="322" spans="1:4" x14ac:dyDescent="0.25">
      <c r="A322" s="13" t="s">
        <v>52</v>
      </c>
      <c r="B322" s="19">
        <v>1</v>
      </c>
      <c r="C322" s="1"/>
      <c r="D322" s="1"/>
    </row>
    <row r="323" spans="1:4" x14ac:dyDescent="0.25">
      <c r="A323" s="13" t="s">
        <v>52</v>
      </c>
      <c r="B323" s="19">
        <v>4</v>
      </c>
      <c r="C323" s="1"/>
      <c r="D323" s="1"/>
    </row>
    <row r="324" spans="1:4" x14ac:dyDescent="0.25">
      <c r="A324" s="13" t="s">
        <v>52</v>
      </c>
      <c r="B324" s="19">
        <v>10</v>
      </c>
      <c r="C324" s="1"/>
      <c r="D324" s="1"/>
    </row>
    <row r="325" spans="1:4" x14ac:dyDescent="0.25">
      <c r="A325" s="13" t="s">
        <v>52</v>
      </c>
      <c r="B325" s="19">
        <v>20</v>
      </c>
      <c r="C325" s="1"/>
      <c r="D325" s="1"/>
    </row>
    <row r="326" spans="1:4" x14ac:dyDescent="0.25">
      <c r="A326" s="13"/>
      <c r="B326" s="1"/>
      <c r="C326" s="1"/>
      <c r="D326" s="1"/>
    </row>
    <row r="327" spans="1:4" x14ac:dyDescent="0.25">
      <c r="A327" s="16"/>
      <c r="B327" s="1"/>
      <c r="C327" s="1"/>
      <c r="D327" s="1"/>
    </row>
    <row r="328" spans="1:4" x14ac:dyDescent="0.25">
      <c r="A328" s="13" t="s">
        <v>56</v>
      </c>
      <c r="B328" s="19">
        <v>0.5</v>
      </c>
      <c r="C328" s="1"/>
      <c r="D328" s="1"/>
    </row>
    <row r="329" spans="1:4" x14ac:dyDescent="0.25">
      <c r="A329" s="13" t="s">
        <v>56</v>
      </c>
      <c r="B329" s="19">
        <v>1</v>
      </c>
      <c r="C329" s="1"/>
      <c r="D329" s="1"/>
    </row>
    <row r="330" spans="1:4" x14ac:dyDescent="0.25">
      <c r="A330" s="13" t="s">
        <v>56</v>
      </c>
      <c r="B330" s="19">
        <v>4</v>
      </c>
      <c r="C330" s="1"/>
      <c r="D330" s="1"/>
    </row>
    <row r="331" spans="1:4" x14ac:dyDescent="0.25">
      <c r="A331" s="13" t="s">
        <v>56</v>
      </c>
      <c r="B331" s="19">
        <v>20</v>
      </c>
      <c r="C331" s="1"/>
      <c r="D331" s="1"/>
    </row>
    <row r="332" spans="1:4" x14ac:dyDescent="0.25">
      <c r="A332" s="13"/>
      <c r="B332" s="1"/>
      <c r="C332" s="1"/>
      <c r="D332" s="1"/>
    </row>
    <row r="333" spans="1:4" x14ac:dyDescent="0.25">
      <c r="A333" s="13" t="s">
        <v>57</v>
      </c>
      <c r="B333" s="19">
        <v>0.5</v>
      </c>
      <c r="C333" s="1"/>
      <c r="D333" s="1"/>
    </row>
    <row r="334" spans="1:4" x14ac:dyDescent="0.25">
      <c r="A334" s="13" t="s">
        <v>57</v>
      </c>
      <c r="B334" s="19">
        <v>1</v>
      </c>
      <c r="C334" s="1"/>
      <c r="D334" s="1"/>
    </row>
    <row r="335" spans="1:4" x14ac:dyDescent="0.25">
      <c r="A335" s="13" t="s">
        <v>57</v>
      </c>
      <c r="B335" s="19">
        <v>4</v>
      </c>
      <c r="C335" s="1"/>
      <c r="D335" s="1"/>
    </row>
    <row r="336" spans="1:4" x14ac:dyDescent="0.25">
      <c r="A336" s="13" t="s">
        <v>57</v>
      </c>
      <c r="B336" s="19">
        <v>20</v>
      </c>
      <c r="C336" s="1"/>
      <c r="D336" s="1"/>
    </row>
    <row r="337" spans="1:4" x14ac:dyDescent="0.25">
      <c r="A337" s="13"/>
      <c r="B337" s="1"/>
      <c r="C337" s="1"/>
      <c r="D337" s="1"/>
    </row>
    <row r="338" spans="1:4" x14ac:dyDescent="0.25">
      <c r="A338" s="16"/>
      <c r="B338" s="1"/>
      <c r="C338" s="1"/>
      <c r="D338" s="1"/>
    </row>
    <row r="339" spans="1:4" x14ac:dyDescent="0.25">
      <c r="A339" s="17" t="s">
        <v>59</v>
      </c>
      <c r="B339" s="18">
        <v>0.1</v>
      </c>
      <c r="C339" s="1"/>
      <c r="D339" s="1"/>
    </row>
    <row r="340" spans="1:4" x14ac:dyDescent="0.25">
      <c r="A340" s="17" t="s">
        <v>59</v>
      </c>
      <c r="B340" s="19">
        <v>0.5</v>
      </c>
      <c r="C340" s="1"/>
      <c r="D340" s="1"/>
    </row>
    <row r="341" spans="1:4" x14ac:dyDescent="0.25">
      <c r="A341" s="17" t="s">
        <v>59</v>
      </c>
      <c r="B341" s="19">
        <v>1</v>
      </c>
      <c r="C341" s="1"/>
      <c r="D341" s="1"/>
    </row>
    <row r="342" spans="1:4" x14ac:dyDescent="0.25">
      <c r="A342" s="17" t="s">
        <v>59</v>
      </c>
      <c r="B342" s="19">
        <v>4</v>
      </c>
      <c r="C342" s="1"/>
      <c r="D342" s="1"/>
    </row>
    <row r="343" spans="1:4" x14ac:dyDescent="0.25">
      <c r="A343" s="17" t="s">
        <v>59</v>
      </c>
      <c r="B343" s="19">
        <v>20</v>
      </c>
      <c r="C343" s="1"/>
      <c r="D343" s="1"/>
    </row>
    <row r="344" spans="1:4" x14ac:dyDescent="0.25">
      <c r="A344" s="16"/>
      <c r="B344" s="1"/>
      <c r="C344" s="1" t="s">
        <v>393</v>
      </c>
      <c r="D344" s="1" t="s">
        <v>394</v>
      </c>
    </row>
    <row r="345" spans="1:4" x14ac:dyDescent="0.25">
      <c r="A345" s="13" t="s">
        <v>60</v>
      </c>
      <c r="B345" s="19">
        <v>0.5</v>
      </c>
      <c r="C345" s="1"/>
      <c r="D345" s="1"/>
    </row>
    <row r="346" spans="1:4" x14ac:dyDescent="0.25">
      <c r="A346" s="13" t="s">
        <v>60</v>
      </c>
      <c r="B346" s="19">
        <v>1</v>
      </c>
      <c r="C346" s="1"/>
      <c r="D346" s="1"/>
    </row>
    <row r="347" spans="1:4" x14ac:dyDescent="0.25">
      <c r="A347" s="13" t="s">
        <v>60</v>
      </c>
      <c r="B347" s="19">
        <v>4</v>
      </c>
      <c r="C347" s="1"/>
      <c r="D347" s="1"/>
    </row>
    <row r="348" spans="1:4" x14ac:dyDescent="0.25">
      <c r="A348" s="13" t="s">
        <v>60</v>
      </c>
      <c r="B348" s="19">
        <v>20</v>
      </c>
      <c r="C348" s="1"/>
      <c r="D348" s="1"/>
    </row>
    <row r="349" spans="1:4" x14ac:dyDescent="0.25">
      <c r="A349" s="13"/>
      <c r="B349" s="1"/>
      <c r="C349" s="1"/>
      <c r="D349" s="1"/>
    </row>
    <row r="350" spans="1:4" x14ac:dyDescent="0.25">
      <c r="A350" s="13" t="s">
        <v>395</v>
      </c>
      <c r="B350" s="19">
        <v>0.5</v>
      </c>
      <c r="C350" s="1"/>
      <c r="D350" s="1"/>
    </row>
    <row r="351" spans="1:4" x14ac:dyDescent="0.25">
      <c r="A351" s="13" t="s">
        <v>395</v>
      </c>
      <c r="B351" s="19">
        <v>1</v>
      </c>
      <c r="C351" s="1"/>
      <c r="D351" s="1"/>
    </row>
    <row r="352" spans="1:4" x14ac:dyDescent="0.25">
      <c r="A352" s="13" t="s">
        <v>395</v>
      </c>
      <c r="B352" s="19">
        <v>4</v>
      </c>
      <c r="C352" s="1"/>
      <c r="D352" s="1"/>
    </row>
    <row r="353" spans="1:4" x14ac:dyDescent="0.25">
      <c r="A353" s="13" t="s">
        <v>395</v>
      </c>
      <c r="B353" s="19">
        <v>20</v>
      </c>
      <c r="C353" s="1"/>
      <c r="D353" s="1"/>
    </row>
    <row r="354" spans="1:4" x14ac:dyDescent="0.25">
      <c r="A354" s="13"/>
      <c r="B354" s="19"/>
      <c r="C354" s="1"/>
      <c r="D354" s="1"/>
    </row>
    <row r="355" spans="1:4" x14ac:dyDescent="0.25">
      <c r="A355" s="13" t="s">
        <v>396</v>
      </c>
      <c r="B355" s="19">
        <v>0.5</v>
      </c>
      <c r="C355" s="1"/>
      <c r="D355" s="1"/>
    </row>
    <row r="356" spans="1:4" x14ac:dyDescent="0.25">
      <c r="A356" s="13" t="s">
        <v>396</v>
      </c>
      <c r="B356" s="19">
        <v>1</v>
      </c>
      <c r="C356" s="1"/>
      <c r="D356" s="1"/>
    </row>
    <row r="357" spans="1:4" x14ac:dyDescent="0.25">
      <c r="A357" s="13" t="s">
        <v>396</v>
      </c>
      <c r="B357" s="19">
        <v>4</v>
      </c>
      <c r="C357" s="1"/>
      <c r="D357" s="1"/>
    </row>
    <row r="358" spans="1:4" x14ac:dyDescent="0.25">
      <c r="A358" s="13"/>
      <c r="B358" s="19"/>
      <c r="C358" s="1"/>
      <c r="D358" s="1"/>
    </row>
    <row r="359" spans="1:4" x14ac:dyDescent="0.25">
      <c r="A359" s="13" t="s">
        <v>397</v>
      </c>
      <c r="B359" s="19">
        <v>0.5</v>
      </c>
      <c r="C359" s="1"/>
      <c r="D359" s="1"/>
    </row>
    <row r="360" spans="1:4" x14ac:dyDescent="0.25">
      <c r="A360" s="13" t="s">
        <v>397</v>
      </c>
      <c r="B360" s="19">
        <v>1</v>
      </c>
      <c r="C360" s="1"/>
      <c r="D360" s="1"/>
    </row>
    <row r="361" spans="1:4" x14ac:dyDescent="0.25">
      <c r="A361" s="13" t="s">
        <v>397</v>
      </c>
      <c r="B361" s="19">
        <v>4</v>
      </c>
      <c r="C361" s="1"/>
      <c r="D361" s="1"/>
    </row>
    <row r="362" spans="1:4" x14ac:dyDescent="0.25">
      <c r="A362" s="13"/>
      <c r="B362" s="19"/>
      <c r="C362" s="1"/>
      <c r="D362" s="1"/>
    </row>
    <row r="363" spans="1:4" x14ac:dyDescent="0.25">
      <c r="A363" s="13" t="s">
        <v>398</v>
      </c>
      <c r="B363" s="19">
        <v>0.5</v>
      </c>
      <c r="C363" s="1"/>
      <c r="D363" s="1"/>
    </row>
    <row r="364" spans="1:4" x14ac:dyDescent="0.25">
      <c r="A364" s="13" t="s">
        <v>398</v>
      </c>
      <c r="B364" s="19">
        <v>1</v>
      </c>
      <c r="C364" s="1"/>
      <c r="D364" s="1"/>
    </row>
    <row r="365" spans="1:4" x14ac:dyDescent="0.25">
      <c r="A365" s="13" t="s">
        <v>398</v>
      </c>
      <c r="B365" s="19">
        <v>4</v>
      </c>
      <c r="C365" s="1"/>
      <c r="D365" s="1"/>
    </row>
    <row r="366" spans="1:4" x14ac:dyDescent="0.25">
      <c r="A366" s="13"/>
      <c r="B366" s="19"/>
      <c r="C366" s="1"/>
      <c r="D366" s="1"/>
    </row>
    <row r="367" spans="1:4" x14ac:dyDescent="0.25">
      <c r="A367" s="13" t="s">
        <v>399</v>
      </c>
      <c r="B367" s="19">
        <v>0.5</v>
      </c>
      <c r="C367" s="1"/>
      <c r="D367" s="1"/>
    </row>
    <row r="368" spans="1:4" x14ac:dyDescent="0.25">
      <c r="A368" s="13" t="s">
        <v>399</v>
      </c>
      <c r="B368" s="19">
        <v>1</v>
      </c>
      <c r="C368" s="1"/>
      <c r="D368" s="1"/>
    </row>
    <row r="369" spans="1:4" x14ac:dyDescent="0.25">
      <c r="A369" s="13" t="s">
        <v>399</v>
      </c>
      <c r="B369" s="19">
        <v>4</v>
      </c>
      <c r="C369" s="1"/>
      <c r="D369" s="1"/>
    </row>
    <row r="370" spans="1:4" x14ac:dyDescent="0.25">
      <c r="A370" s="13"/>
      <c r="B370" s="19"/>
      <c r="C370" s="1"/>
      <c r="D370" s="1"/>
    </row>
    <row r="371" spans="1:4" x14ac:dyDescent="0.25">
      <c r="A371" s="13" t="s">
        <v>400</v>
      </c>
      <c r="B371" s="19">
        <v>0.5</v>
      </c>
      <c r="C371" s="1"/>
      <c r="D371" s="1"/>
    </row>
    <row r="372" spans="1:4" x14ac:dyDescent="0.25">
      <c r="A372" s="13" t="s">
        <v>400</v>
      </c>
      <c r="B372" s="19">
        <v>1</v>
      </c>
      <c r="C372" s="1"/>
      <c r="D372" s="1"/>
    </row>
    <row r="373" spans="1:4" x14ac:dyDescent="0.25">
      <c r="A373" s="13" t="s">
        <v>400</v>
      </c>
      <c r="B373" s="19">
        <v>4</v>
      </c>
      <c r="C373" s="1"/>
      <c r="D373" s="1"/>
    </row>
    <row r="374" spans="1:4" x14ac:dyDescent="0.25">
      <c r="A374" s="13"/>
      <c r="B374" s="19"/>
      <c r="C374" s="1"/>
      <c r="D374" s="1"/>
    </row>
    <row r="375" spans="1:4" x14ac:dyDescent="0.25">
      <c r="A375" s="13" t="s">
        <v>401</v>
      </c>
      <c r="B375" s="19">
        <v>0.5</v>
      </c>
      <c r="C375" s="1"/>
      <c r="D375" s="1"/>
    </row>
    <row r="376" spans="1:4" x14ac:dyDescent="0.25">
      <c r="A376" s="13" t="s">
        <v>401</v>
      </c>
      <c r="B376" s="19">
        <v>1</v>
      </c>
      <c r="C376" s="1"/>
      <c r="D376" s="1"/>
    </row>
    <row r="377" spans="1:4" x14ac:dyDescent="0.25">
      <c r="A377" s="13" t="s">
        <v>401</v>
      </c>
      <c r="B377" s="19">
        <v>4</v>
      </c>
      <c r="C377" s="1"/>
      <c r="D377" s="1"/>
    </row>
    <row r="378" spans="1:4" x14ac:dyDescent="0.25">
      <c r="A378" s="13"/>
      <c r="B378" s="19"/>
      <c r="C378" s="1"/>
      <c r="D378" s="1"/>
    </row>
    <row r="379" spans="1:4" x14ac:dyDescent="0.25">
      <c r="A379" s="13" t="s">
        <v>402</v>
      </c>
      <c r="B379" s="19">
        <v>0.5</v>
      </c>
      <c r="C379" s="1"/>
      <c r="D379" s="1"/>
    </row>
    <row r="380" spans="1:4" x14ac:dyDescent="0.25">
      <c r="A380" s="13" t="s">
        <v>402</v>
      </c>
      <c r="B380" s="19">
        <v>1</v>
      </c>
      <c r="C380" s="1"/>
      <c r="D380" s="1"/>
    </row>
    <row r="381" spans="1:4" x14ac:dyDescent="0.25">
      <c r="A381" s="13" t="s">
        <v>402</v>
      </c>
      <c r="B381" s="19">
        <v>4</v>
      </c>
      <c r="C381" s="1"/>
      <c r="D381" s="1"/>
    </row>
    <row r="382" spans="1:4" x14ac:dyDescent="0.25">
      <c r="A382" s="13" t="s">
        <v>402</v>
      </c>
      <c r="B382" s="19">
        <v>20</v>
      </c>
      <c r="C382" s="1"/>
      <c r="D382" s="1"/>
    </row>
    <row r="383" spans="1:4" x14ac:dyDescent="0.25">
      <c r="A383" s="13"/>
      <c r="B383" s="19"/>
      <c r="C383" s="1"/>
      <c r="D383" s="1"/>
    </row>
    <row r="384" spans="1:4" x14ac:dyDescent="0.25">
      <c r="A384" s="13" t="s">
        <v>403</v>
      </c>
      <c r="B384" s="19">
        <v>0.5</v>
      </c>
      <c r="C384" s="1"/>
      <c r="D384" s="1"/>
    </row>
    <row r="385" spans="1:4" x14ac:dyDescent="0.25">
      <c r="A385" s="13" t="s">
        <v>403</v>
      </c>
      <c r="B385" s="19">
        <v>1</v>
      </c>
      <c r="C385" s="1"/>
      <c r="D385" s="1"/>
    </row>
    <row r="386" spans="1:4" x14ac:dyDescent="0.25">
      <c r="A386" s="13" t="s">
        <v>403</v>
      </c>
      <c r="B386" s="19">
        <v>4</v>
      </c>
      <c r="C386" s="1"/>
      <c r="D386" s="1"/>
    </row>
    <row r="387" spans="1:4" x14ac:dyDescent="0.25">
      <c r="A387" s="13"/>
      <c r="B387" s="19"/>
      <c r="C387" s="1"/>
      <c r="D387" s="1"/>
    </row>
    <row r="388" spans="1:4" x14ac:dyDescent="0.25">
      <c r="A388" s="13" t="s">
        <v>404</v>
      </c>
      <c r="B388" s="19">
        <v>0.5</v>
      </c>
      <c r="C388" s="1"/>
      <c r="D388" s="1"/>
    </row>
    <row r="389" spans="1:4" x14ac:dyDescent="0.25">
      <c r="A389" s="13" t="s">
        <v>404</v>
      </c>
      <c r="B389" s="19">
        <v>1</v>
      </c>
      <c r="C389" s="1"/>
      <c r="D389" s="1"/>
    </row>
    <row r="390" spans="1:4" x14ac:dyDescent="0.25">
      <c r="A390" s="13" t="s">
        <v>404</v>
      </c>
      <c r="B390" s="19">
        <v>4</v>
      </c>
      <c r="C390" s="1"/>
      <c r="D390" s="1"/>
    </row>
    <row r="391" spans="1:4" x14ac:dyDescent="0.25">
      <c r="A391" s="13"/>
      <c r="B391" s="19"/>
      <c r="C391" s="1"/>
      <c r="D391" s="1"/>
    </row>
    <row r="392" spans="1:4" x14ac:dyDescent="0.25">
      <c r="A392" s="13" t="s">
        <v>405</v>
      </c>
      <c r="B392" s="19">
        <v>0.5</v>
      </c>
      <c r="C392" s="1"/>
      <c r="D392" s="1"/>
    </row>
    <row r="393" spans="1:4" x14ac:dyDescent="0.25">
      <c r="A393" s="13" t="s">
        <v>405</v>
      </c>
      <c r="B393" s="19">
        <v>1</v>
      </c>
      <c r="C393" s="1"/>
      <c r="D393" s="1"/>
    </row>
    <row r="394" spans="1:4" x14ac:dyDescent="0.25">
      <c r="A394" s="13" t="s">
        <v>405</v>
      </c>
      <c r="B394" s="19">
        <v>4</v>
      </c>
      <c r="C394" s="1"/>
      <c r="D394" s="1"/>
    </row>
    <row r="395" spans="1:4" x14ac:dyDescent="0.25">
      <c r="A395" s="13"/>
      <c r="B395" s="19"/>
      <c r="C395" s="1"/>
      <c r="D395" s="1"/>
    </row>
    <row r="396" spans="1:4" x14ac:dyDescent="0.25">
      <c r="A396" s="13" t="s">
        <v>406</v>
      </c>
      <c r="B396" s="19">
        <v>0.5</v>
      </c>
      <c r="C396" s="1"/>
      <c r="D396" s="1"/>
    </row>
    <row r="397" spans="1:4" x14ac:dyDescent="0.25">
      <c r="A397" s="13" t="s">
        <v>406</v>
      </c>
      <c r="B397" s="19">
        <v>1</v>
      </c>
      <c r="C397" s="1"/>
      <c r="D397" s="1"/>
    </row>
    <row r="398" spans="1:4" x14ac:dyDescent="0.25">
      <c r="A398" s="13" t="s">
        <v>406</v>
      </c>
      <c r="B398" s="19">
        <v>4</v>
      </c>
      <c r="C398" s="1"/>
      <c r="D398" s="1"/>
    </row>
    <row r="399" spans="1:4" x14ac:dyDescent="0.25">
      <c r="A399" s="13"/>
      <c r="B399" s="19"/>
      <c r="C399" s="1"/>
      <c r="D399" s="1"/>
    </row>
    <row r="400" spans="1:4" x14ac:dyDescent="0.25">
      <c r="A400" s="13" t="s">
        <v>407</v>
      </c>
      <c r="B400" s="19">
        <v>0.5</v>
      </c>
      <c r="C400" s="1"/>
      <c r="D400" s="1"/>
    </row>
    <row r="401" spans="1:4" x14ac:dyDescent="0.25">
      <c r="A401" s="13" t="s">
        <v>407</v>
      </c>
      <c r="B401" s="19">
        <v>1</v>
      </c>
      <c r="C401" s="1"/>
      <c r="D401" s="1"/>
    </row>
    <row r="402" spans="1:4" x14ac:dyDescent="0.25">
      <c r="A402" s="13" t="s">
        <v>407</v>
      </c>
      <c r="B402" s="19">
        <v>4</v>
      </c>
      <c r="C402" s="1"/>
      <c r="D402" s="1"/>
    </row>
    <row r="403" spans="1:4" x14ac:dyDescent="0.25">
      <c r="A403" s="13"/>
      <c r="B403" s="19"/>
      <c r="C403" s="1"/>
      <c r="D403" s="1"/>
    </row>
    <row r="404" spans="1:4" x14ac:dyDescent="0.25">
      <c r="A404" s="13"/>
      <c r="B404" s="19"/>
      <c r="C404" s="1"/>
      <c r="D404" s="1"/>
    </row>
    <row r="405" spans="1:4" x14ac:dyDescent="0.25">
      <c r="A405" s="13" t="s">
        <v>63</v>
      </c>
      <c r="B405" s="19">
        <v>1</v>
      </c>
      <c r="C405" s="1"/>
      <c r="D405" s="1"/>
    </row>
    <row r="406" spans="1:4" x14ac:dyDescent="0.25">
      <c r="A406" s="13" t="s">
        <v>63</v>
      </c>
      <c r="B406" s="19">
        <v>4</v>
      </c>
      <c r="C406" s="1"/>
      <c r="D406" s="1"/>
    </row>
    <row r="407" spans="1:4" x14ac:dyDescent="0.25">
      <c r="A407" s="13" t="s">
        <v>63</v>
      </c>
      <c r="B407" s="19">
        <v>20</v>
      </c>
      <c r="C407" s="1"/>
      <c r="D407" s="1"/>
    </row>
    <row r="408" spans="1:4" x14ac:dyDescent="0.25">
      <c r="A408" s="13" t="s">
        <v>65</v>
      </c>
      <c r="B408" s="19">
        <v>1</v>
      </c>
      <c r="C408" s="1"/>
      <c r="D408" s="1"/>
    </row>
    <row r="409" spans="1:4" x14ac:dyDescent="0.25">
      <c r="A409" s="13" t="s">
        <v>65</v>
      </c>
      <c r="B409" s="19">
        <v>4</v>
      </c>
      <c r="C409" s="1"/>
      <c r="D409" s="1"/>
    </row>
    <row r="410" spans="1:4" x14ac:dyDescent="0.25">
      <c r="A410" s="13" t="s">
        <v>65</v>
      </c>
      <c r="B410" s="19">
        <v>20</v>
      </c>
      <c r="C410" s="1"/>
      <c r="D410" s="1"/>
    </row>
    <row r="411" spans="1:4" x14ac:dyDescent="0.25">
      <c r="A411" s="13" t="s">
        <v>66</v>
      </c>
      <c r="B411" s="19">
        <v>1</v>
      </c>
      <c r="C411" s="1"/>
      <c r="D411" s="1"/>
    </row>
    <row r="412" spans="1:4" x14ac:dyDescent="0.25">
      <c r="A412" s="13" t="s">
        <v>66</v>
      </c>
      <c r="B412" s="19">
        <v>4</v>
      </c>
      <c r="C412" s="1"/>
      <c r="D412" s="1"/>
    </row>
    <row r="413" spans="1:4" x14ac:dyDescent="0.25">
      <c r="A413" s="13" t="s">
        <v>66</v>
      </c>
      <c r="B413" s="19">
        <v>20</v>
      </c>
      <c r="C413" s="1"/>
      <c r="D413" s="1"/>
    </row>
    <row r="414" spans="1:4" x14ac:dyDescent="0.25">
      <c r="A414" s="13" t="s">
        <v>67</v>
      </c>
      <c r="B414" s="19">
        <v>1</v>
      </c>
      <c r="C414" s="1"/>
      <c r="D414" s="1"/>
    </row>
    <row r="415" spans="1:4" x14ac:dyDescent="0.25">
      <c r="A415" s="13" t="s">
        <v>67</v>
      </c>
      <c r="B415" s="19">
        <v>4</v>
      </c>
      <c r="C415" s="1"/>
      <c r="D415" s="1"/>
    </row>
    <row r="416" spans="1:4" x14ac:dyDescent="0.25">
      <c r="A416" s="13" t="s">
        <v>67</v>
      </c>
      <c r="B416" s="19">
        <v>20</v>
      </c>
      <c r="C416" s="1"/>
      <c r="D416" s="1"/>
    </row>
    <row r="417" spans="1:4" x14ac:dyDescent="0.25">
      <c r="A417" s="13" t="s">
        <v>68</v>
      </c>
      <c r="B417" s="19">
        <v>1</v>
      </c>
      <c r="C417" s="1"/>
      <c r="D417" s="1"/>
    </row>
    <row r="418" spans="1:4" x14ac:dyDescent="0.25">
      <c r="A418" s="13" t="s">
        <v>68</v>
      </c>
      <c r="B418" s="19">
        <v>4</v>
      </c>
      <c r="C418" s="1"/>
      <c r="D418" s="1"/>
    </row>
    <row r="419" spans="1:4" x14ac:dyDescent="0.25">
      <c r="A419" s="13" t="s">
        <v>68</v>
      </c>
      <c r="B419" s="19">
        <v>20</v>
      </c>
      <c r="C419" s="1"/>
      <c r="D419" s="1"/>
    </row>
    <row r="420" spans="1:4" x14ac:dyDescent="0.25">
      <c r="A420" s="13" t="s">
        <v>69</v>
      </c>
      <c r="B420" s="19">
        <v>1</v>
      </c>
      <c r="C420" s="1"/>
      <c r="D420" s="1"/>
    </row>
    <row r="421" spans="1:4" x14ac:dyDescent="0.25">
      <c r="A421" s="13" t="s">
        <v>69</v>
      </c>
      <c r="B421" s="19">
        <v>4</v>
      </c>
      <c r="C421" s="1"/>
      <c r="D421" s="1"/>
    </row>
    <row r="422" spans="1:4" x14ac:dyDescent="0.25">
      <c r="A422" s="13" t="s">
        <v>69</v>
      </c>
      <c r="B422" s="19">
        <v>20</v>
      </c>
      <c r="C422" s="1"/>
      <c r="D422" s="1"/>
    </row>
    <row r="423" spans="1:4" x14ac:dyDescent="0.25">
      <c r="A423" s="13" t="s">
        <v>70</v>
      </c>
      <c r="B423" s="1"/>
      <c r="C423" s="1"/>
      <c r="D423" s="1"/>
    </row>
    <row r="424" spans="1:4" x14ac:dyDescent="0.25">
      <c r="A424" s="13" t="s">
        <v>71</v>
      </c>
      <c r="B424" s="19">
        <v>0.5</v>
      </c>
      <c r="C424" s="1"/>
      <c r="D424" s="1"/>
    </row>
    <row r="425" spans="1:4" x14ac:dyDescent="0.25">
      <c r="A425" s="13" t="s">
        <v>71</v>
      </c>
      <c r="B425" s="19">
        <v>1</v>
      </c>
      <c r="C425" s="1"/>
      <c r="D425" s="1"/>
    </row>
    <row r="426" spans="1:4" x14ac:dyDescent="0.25">
      <c r="A426" s="13" t="s">
        <v>71</v>
      </c>
      <c r="B426" s="19">
        <v>4</v>
      </c>
      <c r="C426" s="1"/>
      <c r="D426" s="1"/>
    </row>
    <row r="427" spans="1:4" x14ac:dyDescent="0.25">
      <c r="A427" s="13" t="s">
        <v>72</v>
      </c>
      <c r="B427" s="19">
        <v>0.5</v>
      </c>
      <c r="C427" s="1"/>
      <c r="D427" s="1"/>
    </row>
    <row r="428" spans="1:4" x14ac:dyDescent="0.25">
      <c r="A428" s="13" t="s">
        <v>72</v>
      </c>
      <c r="B428" s="19">
        <v>1</v>
      </c>
      <c r="C428" s="1"/>
      <c r="D428" s="1"/>
    </row>
    <row r="429" spans="1:4" x14ac:dyDescent="0.25">
      <c r="A429" s="13" t="s">
        <v>72</v>
      </c>
      <c r="B429" s="19">
        <v>4</v>
      </c>
      <c r="C429" s="1"/>
      <c r="D429" s="1"/>
    </row>
    <row r="430" spans="1:4" x14ac:dyDescent="0.25">
      <c r="A430" s="36"/>
      <c r="B430" s="19"/>
      <c r="C430" s="1"/>
      <c r="D430" s="1"/>
    </row>
    <row r="431" spans="1:4" x14ac:dyDescent="0.25">
      <c r="A431" s="13" t="s">
        <v>73</v>
      </c>
      <c r="B431" s="19">
        <v>1</v>
      </c>
      <c r="C431" s="1"/>
      <c r="D431" s="1"/>
    </row>
    <row r="432" spans="1:4" x14ac:dyDescent="0.25">
      <c r="A432" s="13" t="s">
        <v>73</v>
      </c>
      <c r="B432" s="19">
        <v>4</v>
      </c>
      <c r="C432" s="1"/>
      <c r="D432" s="1"/>
    </row>
    <row r="433" spans="1:4" x14ac:dyDescent="0.25">
      <c r="A433" s="13" t="s">
        <v>74</v>
      </c>
      <c r="B433" s="19">
        <v>1</v>
      </c>
      <c r="C433" s="1"/>
      <c r="D433" s="1"/>
    </row>
    <row r="434" spans="1:4" x14ac:dyDescent="0.25">
      <c r="A434" s="13" t="s">
        <v>74</v>
      </c>
      <c r="B434" s="19">
        <v>4</v>
      </c>
      <c r="C434" s="1"/>
      <c r="D434" s="1"/>
    </row>
    <row r="435" spans="1:4" x14ac:dyDescent="0.25">
      <c r="A435" s="13" t="s">
        <v>75</v>
      </c>
      <c r="B435" s="19">
        <v>1</v>
      </c>
      <c r="C435" s="1"/>
      <c r="D435" s="1"/>
    </row>
    <row r="436" spans="1:4" x14ac:dyDescent="0.25">
      <c r="A436" s="13" t="s">
        <v>75</v>
      </c>
      <c r="B436" s="19">
        <v>4</v>
      </c>
      <c r="C436" s="1"/>
      <c r="D436" s="1"/>
    </row>
    <row r="437" spans="1:4" x14ac:dyDescent="0.25">
      <c r="A437" s="13" t="s">
        <v>76</v>
      </c>
      <c r="B437" s="19">
        <v>1</v>
      </c>
      <c r="C437" s="1"/>
      <c r="D437" s="1"/>
    </row>
    <row r="438" spans="1:4" x14ac:dyDescent="0.25">
      <c r="A438" s="13" t="s">
        <v>76</v>
      </c>
      <c r="B438" s="19">
        <v>4</v>
      </c>
      <c r="C438" s="1"/>
      <c r="D438" s="1"/>
    </row>
    <row r="439" spans="1:4" x14ac:dyDescent="0.25">
      <c r="A439" s="13" t="s">
        <v>408</v>
      </c>
      <c r="B439" s="19">
        <v>1</v>
      </c>
      <c r="C439" s="1"/>
      <c r="D439" s="1"/>
    </row>
    <row r="440" spans="1:4" x14ac:dyDescent="0.25">
      <c r="A440" s="13" t="s">
        <v>408</v>
      </c>
      <c r="B440" s="19">
        <v>4</v>
      </c>
      <c r="C440" s="1"/>
      <c r="D440" s="1"/>
    </row>
    <row r="441" spans="1:4" x14ac:dyDescent="0.25">
      <c r="A441" s="13" t="s">
        <v>409</v>
      </c>
      <c r="B441" s="19">
        <v>1</v>
      </c>
      <c r="C441" s="1"/>
      <c r="D441" s="1"/>
    </row>
    <row r="442" spans="1:4" x14ac:dyDescent="0.25">
      <c r="A442" s="13" t="s">
        <v>409</v>
      </c>
      <c r="B442" s="19">
        <v>4</v>
      </c>
      <c r="C442" s="1"/>
      <c r="D442" s="1"/>
    </row>
    <row r="443" spans="1:4" x14ac:dyDescent="0.25">
      <c r="A443" s="13" t="s">
        <v>410</v>
      </c>
      <c r="B443" s="19">
        <v>1</v>
      </c>
      <c r="C443" s="1"/>
      <c r="D443" s="1"/>
    </row>
    <row r="444" spans="1:4" x14ac:dyDescent="0.25">
      <c r="A444" s="13" t="s">
        <v>410</v>
      </c>
      <c r="B444" s="19">
        <v>4</v>
      </c>
      <c r="C444" s="1"/>
      <c r="D444" s="1"/>
    </row>
    <row r="445" spans="1:4" x14ac:dyDescent="0.25">
      <c r="A445" s="13"/>
      <c r="B445" s="19"/>
      <c r="C445" s="1"/>
      <c r="D445" s="1"/>
    </row>
    <row r="446" spans="1:4" x14ac:dyDescent="0.25">
      <c r="A446" s="13" t="s">
        <v>78</v>
      </c>
      <c r="B446" s="19">
        <v>10</v>
      </c>
      <c r="C446" s="1"/>
      <c r="D446" s="1"/>
    </row>
    <row r="447" spans="1:4" x14ac:dyDescent="0.25">
      <c r="A447" s="13" t="s">
        <v>78</v>
      </c>
      <c r="B447" s="19">
        <v>20</v>
      </c>
      <c r="C447" s="1"/>
      <c r="D447" s="1"/>
    </row>
    <row r="448" spans="1:4" x14ac:dyDescent="0.25">
      <c r="A448" s="13"/>
      <c r="B448" s="19"/>
      <c r="C448" s="1"/>
      <c r="D448" s="1"/>
    </row>
    <row r="449" spans="1:4" x14ac:dyDescent="0.25">
      <c r="A449" s="13" t="s">
        <v>79</v>
      </c>
      <c r="B449" s="8">
        <v>4</v>
      </c>
      <c r="C449" s="1"/>
      <c r="D449" s="1"/>
    </row>
    <row r="450" spans="1:4" x14ac:dyDescent="0.25">
      <c r="A450" s="13" t="s">
        <v>79</v>
      </c>
      <c r="B450" s="8">
        <v>10</v>
      </c>
      <c r="C450" s="1"/>
      <c r="D450" s="1"/>
    </row>
    <row r="451" spans="1:4" x14ac:dyDescent="0.25">
      <c r="A451" s="13" t="s">
        <v>79</v>
      </c>
      <c r="B451" s="8">
        <v>20</v>
      </c>
      <c r="C451" s="1"/>
      <c r="D451" s="1"/>
    </row>
    <row r="452" spans="1:4" x14ac:dyDescent="0.25">
      <c r="A452" s="13"/>
      <c r="B452" s="8"/>
      <c r="C452" s="1"/>
      <c r="D452" s="1"/>
    </row>
    <row r="453" spans="1:4" x14ac:dyDescent="0.25">
      <c r="A453" s="13" t="s">
        <v>80</v>
      </c>
      <c r="B453" s="8">
        <v>4</v>
      </c>
      <c r="C453" s="1"/>
      <c r="D453" s="1"/>
    </row>
    <row r="454" spans="1:4" x14ac:dyDescent="0.25">
      <c r="A454" s="13" t="s">
        <v>80</v>
      </c>
      <c r="B454" s="8">
        <v>10</v>
      </c>
      <c r="C454" s="1"/>
      <c r="D454" s="1"/>
    </row>
    <row r="455" spans="1:4" x14ac:dyDescent="0.25">
      <c r="A455" s="13" t="s">
        <v>80</v>
      </c>
      <c r="B455" s="8">
        <v>20</v>
      </c>
      <c r="C455" s="1"/>
      <c r="D455" s="1"/>
    </row>
    <row r="456" spans="1:4" x14ac:dyDescent="0.25">
      <c r="A456" s="13"/>
      <c r="B456" s="8"/>
      <c r="C456" s="1"/>
      <c r="D456" s="1"/>
    </row>
    <row r="457" spans="1:4" x14ac:dyDescent="0.25">
      <c r="A457" s="13" t="s">
        <v>81</v>
      </c>
      <c r="B457" s="8">
        <v>4</v>
      </c>
      <c r="C457" s="1"/>
      <c r="D457" s="1"/>
    </row>
    <row r="458" spans="1:4" x14ac:dyDescent="0.25">
      <c r="A458" s="13" t="s">
        <v>81</v>
      </c>
      <c r="B458" s="8">
        <v>10</v>
      </c>
      <c r="C458" s="1"/>
      <c r="D458" s="1"/>
    </row>
    <row r="459" spans="1:4" x14ac:dyDescent="0.25">
      <c r="A459" s="13" t="s">
        <v>81</v>
      </c>
      <c r="B459" s="8">
        <v>20</v>
      </c>
      <c r="C459" s="1"/>
      <c r="D459" s="1"/>
    </row>
    <row r="460" spans="1:4" x14ac:dyDescent="0.25">
      <c r="A460" s="13"/>
      <c r="B460" s="8"/>
      <c r="C460" s="1"/>
      <c r="D460" s="1"/>
    </row>
    <row r="461" spans="1:4" x14ac:dyDescent="0.25">
      <c r="A461" s="13" t="s">
        <v>83</v>
      </c>
      <c r="B461" s="8">
        <v>3</v>
      </c>
      <c r="C461" s="1"/>
      <c r="D461" s="1"/>
    </row>
    <row r="462" spans="1:4" x14ac:dyDescent="0.25">
      <c r="A462" s="13" t="s">
        <v>83</v>
      </c>
      <c r="B462" s="18">
        <v>15</v>
      </c>
      <c r="C462" s="1"/>
      <c r="D462" s="1"/>
    </row>
    <row r="463" spans="1:4" x14ac:dyDescent="0.25">
      <c r="A463" s="13"/>
      <c r="B463" s="18"/>
      <c r="C463" s="1"/>
      <c r="D463" s="1"/>
    </row>
    <row r="464" spans="1:4" x14ac:dyDescent="0.25">
      <c r="A464" s="13" t="s">
        <v>84</v>
      </c>
      <c r="B464" s="18">
        <v>10</v>
      </c>
      <c r="C464" s="1"/>
      <c r="D464" s="1"/>
    </row>
    <row r="465" spans="1:4" x14ac:dyDescent="0.25">
      <c r="A465" s="13" t="s">
        <v>85</v>
      </c>
      <c r="B465" s="18">
        <v>20</v>
      </c>
      <c r="C465" s="1"/>
      <c r="D465" s="1"/>
    </row>
    <row r="466" spans="1:4" x14ac:dyDescent="0.25">
      <c r="A466" s="13" t="s">
        <v>86</v>
      </c>
      <c r="B466" s="18"/>
      <c r="C466" s="1"/>
      <c r="D466" s="1"/>
    </row>
    <row r="467" spans="1:4" x14ac:dyDescent="0.25">
      <c r="A467" s="13" t="s">
        <v>86</v>
      </c>
      <c r="B467" s="1"/>
      <c r="C467" s="1"/>
      <c r="D467" s="1"/>
    </row>
    <row r="468" spans="1:4" x14ac:dyDescent="0.25">
      <c r="A468" s="13" t="s">
        <v>86</v>
      </c>
      <c r="B468" s="1"/>
      <c r="C468" s="1"/>
      <c r="D468" s="1"/>
    </row>
    <row r="469" spans="1:4" x14ac:dyDescent="0.25">
      <c r="A469" s="13" t="s">
        <v>86</v>
      </c>
      <c r="B469" s="1"/>
      <c r="C469" s="1"/>
      <c r="D469" s="1"/>
    </row>
    <row r="470" spans="1:4" x14ac:dyDescent="0.25">
      <c r="A470" s="13"/>
      <c r="B470" s="1"/>
      <c r="C470" s="1"/>
      <c r="D470" s="1"/>
    </row>
    <row r="471" spans="1:4" x14ac:dyDescent="0.25">
      <c r="A471" s="13" t="s">
        <v>88</v>
      </c>
      <c r="B471" s="19">
        <v>0.25</v>
      </c>
      <c r="C471" s="1"/>
      <c r="D471" s="1"/>
    </row>
    <row r="472" spans="1:4" x14ac:dyDescent="0.25">
      <c r="A472" s="13" t="s">
        <v>88</v>
      </c>
      <c r="B472" s="19">
        <v>1</v>
      </c>
      <c r="C472" s="1"/>
      <c r="D472" s="1"/>
    </row>
    <row r="473" spans="1:4" x14ac:dyDescent="0.25">
      <c r="A473" s="13" t="s">
        <v>88</v>
      </c>
      <c r="B473" s="19">
        <v>5</v>
      </c>
      <c r="C473" s="1"/>
      <c r="D473" s="1"/>
    </row>
    <row r="474" spans="1:4" x14ac:dyDescent="0.25">
      <c r="A474" s="13" t="s">
        <v>88</v>
      </c>
      <c r="B474" s="8">
        <v>10</v>
      </c>
      <c r="C474" s="1"/>
      <c r="D474" s="1"/>
    </row>
    <row r="475" spans="1:4" x14ac:dyDescent="0.25">
      <c r="A475" s="13" t="s">
        <v>88</v>
      </c>
      <c r="B475" s="8">
        <v>20</v>
      </c>
      <c r="C475" s="1"/>
      <c r="D475" s="1"/>
    </row>
    <row r="476" spans="1:4" x14ac:dyDescent="0.25">
      <c r="A476" s="13"/>
      <c r="B476" s="8"/>
      <c r="C476" s="1"/>
      <c r="D476" s="1"/>
    </row>
    <row r="477" spans="1:4" x14ac:dyDescent="0.25">
      <c r="A477" s="13" t="s">
        <v>89</v>
      </c>
      <c r="B477" s="8">
        <v>0.5</v>
      </c>
      <c r="C477" s="1"/>
      <c r="D477" s="1"/>
    </row>
    <row r="478" spans="1:4" x14ac:dyDescent="0.25">
      <c r="A478" s="13" t="s">
        <v>89</v>
      </c>
      <c r="B478" s="19">
        <v>1</v>
      </c>
      <c r="C478" s="1"/>
      <c r="D478" s="1"/>
    </row>
    <row r="479" spans="1:4" x14ac:dyDescent="0.25">
      <c r="A479" s="13" t="s">
        <v>89</v>
      </c>
      <c r="B479" s="19">
        <v>4</v>
      </c>
      <c r="C479" s="1"/>
      <c r="D479" s="1"/>
    </row>
    <row r="480" spans="1:4" x14ac:dyDescent="0.25">
      <c r="A480" s="13"/>
      <c r="B480" s="19"/>
      <c r="C480" s="1"/>
      <c r="D480" s="1"/>
    </row>
    <row r="481" spans="1:4" x14ac:dyDescent="0.25">
      <c r="A481" s="13" t="s">
        <v>90</v>
      </c>
      <c r="B481" s="19">
        <v>0.2</v>
      </c>
      <c r="C481" s="1"/>
      <c r="D481" s="1"/>
    </row>
    <row r="482" spans="1:4" x14ac:dyDescent="0.25">
      <c r="A482" s="13" t="s">
        <v>90</v>
      </c>
      <c r="B482" s="19">
        <v>0.5</v>
      </c>
      <c r="C482" s="1"/>
      <c r="D482" s="1"/>
    </row>
    <row r="483" spans="1:4" x14ac:dyDescent="0.25">
      <c r="A483" s="13" t="s">
        <v>90</v>
      </c>
      <c r="B483" s="19">
        <v>1</v>
      </c>
      <c r="C483" s="1"/>
      <c r="D483" s="1"/>
    </row>
    <row r="484" spans="1:4" x14ac:dyDescent="0.25">
      <c r="A484" s="13" t="s">
        <v>90</v>
      </c>
      <c r="B484" s="19">
        <v>4</v>
      </c>
      <c r="C484" s="1"/>
      <c r="D484" s="1"/>
    </row>
    <row r="485" spans="1:4" x14ac:dyDescent="0.25">
      <c r="A485" s="13"/>
      <c r="B485" s="19"/>
      <c r="C485" s="1"/>
      <c r="D485" s="1"/>
    </row>
    <row r="486" spans="1:4" x14ac:dyDescent="0.25">
      <c r="A486" s="13" t="s">
        <v>91</v>
      </c>
      <c r="B486" s="19">
        <v>0.2</v>
      </c>
      <c r="C486" s="1"/>
      <c r="D486" s="1"/>
    </row>
    <row r="487" spans="1:4" x14ac:dyDescent="0.25">
      <c r="A487" s="13" t="s">
        <v>91</v>
      </c>
      <c r="B487" s="19">
        <v>0.5</v>
      </c>
      <c r="C487" s="1"/>
      <c r="D487" s="1"/>
    </row>
    <row r="488" spans="1:4" x14ac:dyDescent="0.25">
      <c r="A488" s="13" t="s">
        <v>91</v>
      </c>
      <c r="B488" s="19">
        <v>1</v>
      </c>
      <c r="C488" s="1"/>
      <c r="D488" s="1"/>
    </row>
    <row r="489" spans="1:4" x14ac:dyDescent="0.25">
      <c r="A489" s="13" t="s">
        <v>91</v>
      </c>
      <c r="B489" s="19">
        <v>4</v>
      </c>
      <c r="C489" s="1"/>
      <c r="D489" s="1"/>
    </row>
    <row r="490" spans="1:4" x14ac:dyDescent="0.25">
      <c r="A490" s="13" t="s">
        <v>91</v>
      </c>
      <c r="B490" s="19">
        <v>20</v>
      </c>
      <c r="C490" s="1"/>
      <c r="D490" s="1"/>
    </row>
    <row r="491" spans="1:4" x14ac:dyDescent="0.25">
      <c r="A491" s="13" t="s">
        <v>91</v>
      </c>
      <c r="B491" s="19"/>
      <c r="C491" s="1"/>
      <c r="D491" s="1"/>
    </row>
    <row r="492" spans="1:4" x14ac:dyDescent="0.25">
      <c r="A492" s="13"/>
      <c r="B492" s="19">
        <v>1.5</v>
      </c>
      <c r="C492" s="1"/>
      <c r="D492" s="1"/>
    </row>
    <row r="493" spans="1:4" x14ac:dyDescent="0.25">
      <c r="A493" s="3" t="s">
        <v>92</v>
      </c>
      <c r="B493" s="19">
        <v>1</v>
      </c>
      <c r="C493" s="1"/>
      <c r="D493" s="1"/>
    </row>
    <row r="494" spans="1:4" x14ac:dyDescent="0.25">
      <c r="A494" s="3" t="s">
        <v>92</v>
      </c>
      <c r="B494" s="19">
        <v>1.5</v>
      </c>
      <c r="C494" s="1"/>
      <c r="D494" s="1"/>
    </row>
    <row r="495" spans="1:4" x14ac:dyDescent="0.25">
      <c r="A495" s="13" t="s">
        <v>93</v>
      </c>
      <c r="B495" s="19">
        <v>1</v>
      </c>
      <c r="C495" s="1"/>
      <c r="D495" s="1"/>
    </row>
    <row r="496" spans="1:4" x14ac:dyDescent="0.25">
      <c r="A496" s="13" t="s">
        <v>93</v>
      </c>
      <c r="B496" s="19">
        <v>1.5</v>
      </c>
      <c r="C496" s="1"/>
      <c r="D496" s="1"/>
    </row>
    <row r="497" spans="1:4" x14ac:dyDescent="0.25">
      <c r="A497" s="13" t="s">
        <v>94</v>
      </c>
      <c r="B497" s="19">
        <v>1</v>
      </c>
      <c r="C497" s="1"/>
      <c r="D497" s="1"/>
    </row>
    <row r="498" spans="1:4" x14ac:dyDescent="0.25">
      <c r="A498" s="13" t="s">
        <v>94</v>
      </c>
      <c r="B498" s="19"/>
      <c r="C498" s="1"/>
      <c r="D498" s="1"/>
    </row>
    <row r="499" spans="1:4" x14ac:dyDescent="0.25">
      <c r="A499" s="13"/>
      <c r="B499" s="19">
        <v>0.2</v>
      </c>
      <c r="C499" s="1"/>
      <c r="D499" s="1"/>
    </row>
    <row r="500" spans="1:4" x14ac:dyDescent="0.25">
      <c r="A500" s="13" t="s">
        <v>95</v>
      </c>
      <c r="B500" s="19">
        <v>1</v>
      </c>
      <c r="C500" s="1"/>
      <c r="D500" s="1"/>
    </row>
    <row r="501" spans="1:4" x14ac:dyDescent="0.25">
      <c r="A501" s="13" t="s">
        <v>95</v>
      </c>
      <c r="B501" s="19">
        <v>0.2</v>
      </c>
      <c r="C501" s="1"/>
      <c r="D501" s="1"/>
    </row>
    <row r="502" spans="1:4" x14ac:dyDescent="0.25">
      <c r="A502" s="13" t="s">
        <v>96</v>
      </c>
      <c r="B502" s="19">
        <v>1</v>
      </c>
      <c r="C502" s="1"/>
      <c r="D502" s="1"/>
    </row>
    <row r="503" spans="1:4" x14ac:dyDescent="0.25">
      <c r="A503" s="13" t="s">
        <v>96</v>
      </c>
      <c r="B503" s="19">
        <v>0.2</v>
      </c>
      <c r="C503" s="1"/>
      <c r="D503" s="1"/>
    </row>
    <row r="504" spans="1:4" x14ac:dyDescent="0.25">
      <c r="A504" s="13" t="s">
        <v>97</v>
      </c>
      <c r="B504" s="19">
        <v>1</v>
      </c>
      <c r="C504" s="1"/>
      <c r="D504" s="1"/>
    </row>
    <row r="505" spans="1:4" x14ac:dyDescent="0.25">
      <c r="A505" s="13" t="s">
        <v>97</v>
      </c>
      <c r="B505" s="19">
        <v>0.2</v>
      </c>
      <c r="C505" s="1"/>
      <c r="D505" s="1"/>
    </row>
    <row r="506" spans="1:4" x14ac:dyDescent="0.25">
      <c r="A506" s="13" t="s">
        <v>98</v>
      </c>
      <c r="B506" s="19">
        <v>1</v>
      </c>
      <c r="C506" s="1"/>
      <c r="D506" s="1"/>
    </row>
    <row r="507" spans="1:4" x14ac:dyDescent="0.25">
      <c r="A507" s="13" t="s">
        <v>98</v>
      </c>
      <c r="B507" s="14"/>
      <c r="C507" s="1"/>
      <c r="D507" s="1"/>
    </row>
    <row r="508" spans="1:4" x14ac:dyDescent="0.25">
      <c r="A508" s="13"/>
      <c r="B508" s="19">
        <v>0.2</v>
      </c>
      <c r="C508" s="1"/>
      <c r="D508" s="1"/>
    </row>
    <row r="509" spans="1:4" x14ac:dyDescent="0.25">
      <c r="A509" s="13" t="s">
        <v>99</v>
      </c>
      <c r="B509" s="19">
        <v>1</v>
      </c>
      <c r="C509" s="1"/>
      <c r="D509" s="1"/>
    </row>
    <row r="510" spans="1:4" x14ac:dyDescent="0.25">
      <c r="A510" s="13" t="s">
        <v>99</v>
      </c>
      <c r="B510" s="19">
        <v>0.2</v>
      </c>
      <c r="C510" s="1"/>
      <c r="D510" s="1"/>
    </row>
    <row r="511" spans="1:4" x14ac:dyDescent="0.25">
      <c r="A511" s="13" t="s">
        <v>100</v>
      </c>
      <c r="B511" s="19">
        <v>1</v>
      </c>
      <c r="C511" s="1"/>
      <c r="D511" s="1"/>
    </row>
    <row r="512" spans="1:4" x14ac:dyDescent="0.25">
      <c r="A512" s="13" t="s">
        <v>100</v>
      </c>
      <c r="B512" s="19"/>
      <c r="C512" s="1"/>
      <c r="D512" s="1"/>
    </row>
    <row r="513" spans="1:4" x14ac:dyDescent="0.25">
      <c r="A513" s="13"/>
      <c r="B513" s="19">
        <v>1</v>
      </c>
      <c r="C513" s="1"/>
      <c r="D513" s="1"/>
    </row>
    <row r="514" spans="1:4" x14ac:dyDescent="0.25">
      <c r="A514" s="13" t="s">
        <v>101</v>
      </c>
      <c r="B514" s="19">
        <v>0.2</v>
      </c>
      <c r="C514" s="1"/>
      <c r="D514" s="1"/>
    </row>
    <row r="515" spans="1:4" x14ac:dyDescent="0.25">
      <c r="A515" s="13" t="s">
        <v>102</v>
      </c>
      <c r="B515" s="19">
        <v>1</v>
      </c>
      <c r="C515" s="1"/>
      <c r="D515" s="1"/>
    </row>
    <row r="516" spans="1:4" x14ac:dyDescent="0.25">
      <c r="A516" s="13" t="s">
        <v>103</v>
      </c>
      <c r="B516" s="19">
        <v>0.2</v>
      </c>
      <c r="C516" s="1"/>
      <c r="D516" s="1"/>
    </row>
    <row r="517" spans="1:4" x14ac:dyDescent="0.25">
      <c r="A517" s="13" t="s">
        <v>104</v>
      </c>
      <c r="B517" s="19"/>
      <c r="C517" s="1"/>
      <c r="D517" s="1"/>
    </row>
    <row r="518" spans="1:4" x14ac:dyDescent="0.25">
      <c r="A518" s="13"/>
      <c r="B518" s="19">
        <v>1</v>
      </c>
      <c r="C518" s="1"/>
      <c r="D518" s="1"/>
    </row>
    <row r="519" spans="1:4" x14ac:dyDescent="0.25">
      <c r="A519" s="13" t="s">
        <v>105</v>
      </c>
      <c r="B519" s="19">
        <v>1</v>
      </c>
      <c r="C519" s="1"/>
      <c r="D519" s="1"/>
    </row>
    <row r="520" spans="1:4" x14ac:dyDescent="0.25">
      <c r="A520" s="13" t="s">
        <v>106</v>
      </c>
      <c r="B520" s="19">
        <v>1</v>
      </c>
      <c r="C520" s="1"/>
      <c r="D520" s="1"/>
    </row>
    <row r="521" spans="1:4" x14ac:dyDescent="0.25">
      <c r="A521" s="13" t="s">
        <v>107</v>
      </c>
      <c r="B521" s="19">
        <v>1</v>
      </c>
      <c r="C521" s="1"/>
      <c r="D521" s="1"/>
    </row>
    <row r="522" spans="1:4" x14ac:dyDescent="0.25">
      <c r="A522" s="13" t="s">
        <v>108</v>
      </c>
      <c r="B522" s="19">
        <v>1</v>
      </c>
      <c r="C522" s="1"/>
      <c r="D522" s="1"/>
    </row>
    <row r="523" spans="1:4" x14ac:dyDescent="0.25">
      <c r="A523" s="13" t="s">
        <v>109</v>
      </c>
      <c r="B523" s="19">
        <v>1</v>
      </c>
      <c r="C523" s="1"/>
      <c r="D523" s="1"/>
    </row>
    <row r="524" spans="1:4" x14ac:dyDescent="0.25">
      <c r="A524" s="13" t="s">
        <v>110</v>
      </c>
      <c r="B524" s="19">
        <v>1</v>
      </c>
      <c r="C524" s="1"/>
      <c r="D524" s="1"/>
    </row>
    <row r="525" spans="1:4" x14ac:dyDescent="0.25">
      <c r="A525" s="13" t="s">
        <v>111</v>
      </c>
      <c r="B525" s="19">
        <v>1</v>
      </c>
      <c r="C525" s="1"/>
      <c r="D525" s="1"/>
    </row>
    <row r="526" spans="1:4" x14ac:dyDescent="0.25">
      <c r="A526" s="13" t="s">
        <v>112</v>
      </c>
      <c r="B526" s="19">
        <v>1</v>
      </c>
      <c r="C526" s="1"/>
      <c r="D526" s="1"/>
    </row>
    <row r="527" spans="1:4" x14ac:dyDescent="0.25">
      <c r="A527" s="13" t="s">
        <v>113</v>
      </c>
      <c r="B527" s="19">
        <v>1</v>
      </c>
      <c r="C527" s="1"/>
      <c r="D527" s="1"/>
    </row>
    <row r="528" spans="1:4" x14ac:dyDescent="0.25">
      <c r="A528" s="13" t="s">
        <v>115</v>
      </c>
      <c r="B528" s="19">
        <v>1</v>
      </c>
      <c r="C528" s="1"/>
      <c r="D528" s="1"/>
    </row>
    <row r="529" spans="1:4" x14ac:dyDescent="0.25">
      <c r="A529" s="13" t="s">
        <v>116</v>
      </c>
      <c r="B529" s="19"/>
      <c r="C529" s="1"/>
      <c r="D529" s="1"/>
    </row>
    <row r="530" spans="1:4" x14ac:dyDescent="0.25">
      <c r="A530" s="16"/>
      <c r="B530" s="19">
        <v>1</v>
      </c>
      <c r="C530" s="1"/>
      <c r="D530" s="1"/>
    </row>
    <row r="531" spans="1:4" x14ac:dyDescent="0.25">
      <c r="A531" s="13" t="s">
        <v>117</v>
      </c>
      <c r="B531" s="19">
        <v>1</v>
      </c>
      <c r="C531" s="1"/>
      <c r="D531" s="1"/>
    </row>
    <row r="532" spans="1:4" x14ac:dyDescent="0.25">
      <c r="A532" s="13" t="s">
        <v>118</v>
      </c>
      <c r="B532" s="19">
        <v>1</v>
      </c>
      <c r="C532" s="1"/>
      <c r="D532" s="1"/>
    </row>
    <row r="533" spans="1:4" x14ac:dyDescent="0.25">
      <c r="A533" s="13" t="s">
        <v>119</v>
      </c>
      <c r="B533" s="19">
        <v>1</v>
      </c>
      <c r="C533" s="1"/>
      <c r="D533" s="1"/>
    </row>
    <row r="534" spans="1:4" x14ac:dyDescent="0.25">
      <c r="A534" s="13" t="s">
        <v>120</v>
      </c>
      <c r="B534" s="19">
        <v>1</v>
      </c>
      <c r="C534" s="1"/>
      <c r="D534" s="1"/>
    </row>
    <row r="535" spans="1:4" x14ac:dyDescent="0.25">
      <c r="A535" s="13" t="s">
        <v>121</v>
      </c>
      <c r="B535" s="19">
        <v>1</v>
      </c>
      <c r="C535" s="1"/>
      <c r="D535" s="1"/>
    </row>
    <row r="536" spans="1:4" x14ac:dyDescent="0.25">
      <c r="A536" s="13" t="s">
        <v>122</v>
      </c>
      <c r="B536" s="19">
        <v>1</v>
      </c>
      <c r="C536" s="1"/>
      <c r="D536" s="1"/>
    </row>
    <row r="537" spans="1:4" x14ac:dyDescent="0.25">
      <c r="A537" s="13" t="s">
        <v>123</v>
      </c>
      <c r="B537" s="19">
        <v>1</v>
      </c>
      <c r="C537" s="1"/>
      <c r="D537" s="1"/>
    </row>
    <row r="538" spans="1:4" x14ac:dyDescent="0.25">
      <c r="A538" s="13" t="s">
        <v>124</v>
      </c>
      <c r="B538" s="19">
        <v>1</v>
      </c>
      <c r="C538" s="1"/>
      <c r="D538" s="1"/>
    </row>
    <row r="539" spans="1:4" x14ac:dyDescent="0.25">
      <c r="A539" s="13" t="s">
        <v>125</v>
      </c>
      <c r="B539" s="19">
        <v>1</v>
      </c>
      <c r="C539" s="1"/>
      <c r="D539" s="1"/>
    </row>
    <row r="540" spans="1:4" x14ac:dyDescent="0.25">
      <c r="A540" s="13" t="s">
        <v>126</v>
      </c>
      <c r="B540" s="19">
        <v>1</v>
      </c>
      <c r="C540" s="1"/>
      <c r="D540" s="1"/>
    </row>
    <row r="541" spans="1:4" x14ac:dyDescent="0.25">
      <c r="A541" s="13" t="s">
        <v>127</v>
      </c>
      <c r="B541" s="19">
        <v>1</v>
      </c>
      <c r="C541" s="1"/>
      <c r="D541" s="1"/>
    </row>
    <row r="542" spans="1:4" x14ac:dyDescent="0.25">
      <c r="A542" s="13" t="s">
        <v>128</v>
      </c>
      <c r="B542" s="19">
        <v>1</v>
      </c>
      <c r="C542" s="1"/>
      <c r="D542" s="1"/>
    </row>
    <row r="543" spans="1:4" x14ac:dyDescent="0.25">
      <c r="A543" s="13" t="s">
        <v>129</v>
      </c>
      <c r="B543" s="19">
        <v>1</v>
      </c>
      <c r="C543" s="1"/>
      <c r="D543" s="1"/>
    </row>
    <row r="544" spans="1:4" x14ac:dyDescent="0.25">
      <c r="A544" s="13" t="s">
        <v>130</v>
      </c>
      <c r="B544" s="19">
        <v>1</v>
      </c>
      <c r="C544" s="1"/>
      <c r="D544" s="1"/>
    </row>
    <row r="545" spans="1:4" x14ac:dyDescent="0.25">
      <c r="A545" s="13" t="s">
        <v>131</v>
      </c>
      <c r="B545" s="19">
        <v>1</v>
      </c>
      <c r="C545" s="1"/>
      <c r="D545" s="1"/>
    </row>
    <row r="546" spans="1:4" x14ac:dyDescent="0.25">
      <c r="A546" s="13" t="s">
        <v>132</v>
      </c>
      <c r="B546" s="19">
        <v>1</v>
      </c>
      <c r="C546" s="1"/>
      <c r="D546" s="1"/>
    </row>
    <row r="547" spans="1:4" x14ac:dyDescent="0.25">
      <c r="A547" s="13" t="s">
        <v>133</v>
      </c>
      <c r="B547" s="19">
        <v>1</v>
      </c>
      <c r="C547" s="1"/>
      <c r="D547" s="1"/>
    </row>
    <row r="548" spans="1:4" x14ac:dyDescent="0.25">
      <c r="A548" s="13" t="s">
        <v>134</v>
      </c>
      <c r="B548" s="19">
        <v>1</v>
      </c>
      <c r="C548" s="1"/>
      <c r="D548" s="1"/>
    </row>
    <row r="549" spans="1:4" x14ac:dyDescent="0.25">
      <c r="A549" s="13" t="s">
        <v>135</v>
      </c>
      <c r="B549" s="19">
        <v>1</v>
      </c>
      <c r="C549" s="1"/>
      <c r="D549" s="1"/>
    </row>
    <row r="550" spans="1:4" x14ac:dyDescent="0.25">
      <c r="A550" s="13" t="s">
        <v>136</v>
      </c>
      <c r="B550" s="19">
        <v>1</v>
      </c>
      <c r="C550" s="1"/>
      <c r="D550" s="1"/>
    </row>
    <row r="551" spans="1:4" x14ac:dyDescent="0.25">
      <c r="A551" s="13" t="s">
        <v>137</v>
      </c>
      <c r="B551" s="19">
        <v>1</v>
      </c>
      <c r="C551" s="1"/>
      <c r="D551" s="1"/>
    </row>
    <row r="552" spans="1:4" x14ac:dyDescent="0.25">
      <c r="A552" s="13" t="s">
        <v>138</v>
      </c>
      <c r="B552" s="19">
        <v>1</v>
      </c>
      <c r="C552" s="1"/>
      <c r="D552" s="1"/>
    </row>
    <row r="553" spans="1:4" x14ac:dyDescent="0.25">
      <c r="A553" s="13" t="s">
        <v>139</v>
      </c>
      <c r="B553" s="19">
        <v>1</v>
      </c>
      <c r="C553" s="1"/>
      <c r="D553" s="1"/>
    </row>
    <row r="554" spans="1:4" x14ac:dyDescent="0.25">
      <c r="A554" s="13" t="s">
        <v>140</v>
      </c>
      <c r="B554" s="19">
        <v>1</v>
      </c>
      <c r="C554" s="1"/>
      <c r="D554" s="1"/>
    </row>
    <row r="555" spans="1:4" x14ac:dyDescent="0.25">
      <c r="A555" s="13" t="s">
        <v>141</v>
      </c>
      <c r="B555" s="19"/>
      <c r="C555" s="1"/>
      <c r="D555" s="1"/>
    </row>
    <row r="556" spans="1:4" x14ac:dyDescent="0.25">
      <c r="A556" s="16"/>
      <c r="B556" s="8">
        <v>0.25</v>
      </c>
      <c r="C556" s="1"/>
      <c r="D556" s="1"/>
    </row>
    <row r="557" spans="1:4" x14ac:dyDescent="0.25">
      <c r="A557" s="13" t="s">
        <v>142</v>
      </c>
      <c r="B557" s="8">
        <v>0.05</v>
      </c>
      <c r="C557" s="1"/>
      <c r="D557" s="1"/>
    </row>
    <row r="558" spans="1:4" x14ac:dyDescent="0.25">
      <c r="A558" s="13" t="s">
        <v>142</v>
      </c>
      <c r="B558" s="19"/>
      <c r="C558" s="1"/>
      <c r="D558" s="1"/>
    </row>
    <row r="559" spans="1:4" x14ac:dyDescent="0.25">
      <c r="A559" s="16"/>
      <c r="B559" s="19">
        <v>1</v>
      </c>
      <c r="C559" s="1"/>
      <c r="D559" s="1"/>
    </row>
    <row r="560" spans="1:4" x14ac:dyDescent="0.25">
      <c r="A560" s="13" t="s">
        <v>143</v>
      </c>
      <c r="B560" s="19">
        <v>4</v>
      </c>
      <c r="C560" s="1"/>
      <c r="D560" s="1"/>
    </row>
    <row r="561" spans="1:4" x14ac:dyDescent="0.25">
      <c r="A561" s="13" t="s">
        <v>143</v>
      </c>
      <c r="B561" s="19">
        <v>10</v>
      </c>
      <c r="C561" s="1"/>
      <c r="D561" s="1"/>
    </row>
    <row r="562" spans="1:4" x14ac:dyDescent="0.25">
      <c r="A562" s="13" t="s">
        <v>143</v>
      </c>
      <c r="B562" s="19">
        <v>20</v>
      </c>
      <c r="C562" s="1"/>
      <c r="D562" s="1"/>
    </row>
    <row r="563" spans="1:4" x14ac:dyDescent="0.25">
      <c r="A563" s="13" t="s">
        <v>143</v>
      </c>
      <c r="B563" s="19"/>
      <c r="C563" s="1"/>
      <c r="D563" s="1"/>
    </row>
    <row r="564" spans="1:4" x14ac:dyDescent="0.25">
      <c r="A564" s="13"/>
      <c r="B564" s="19"/>
      <c r="C564" s="1"/>
      <c r="D564" s="1" t="s">
        <v>340</v>
      </c>
    </row>
    <row r="565" spans="1:4" x14ac:dyDescent="0.25">
      <c r="A565" s="13" t="s">
        <v>144</v>
      </c>
      <c r="B565" s="19">
        <v>1</v>
      </c>
      <c r="C565" s="1"/>
      <c r="D565" s="1"/>
    </row>
    <row r="566" spans="1:4" x14ac:dyDescent="0.25">
      <c r="A566" s="13" t="s">
        <v>145</v>
      </c>
      <c r="B566" s="19">
        <v>1</v>
      </c>
      <c r="C566" s="1"/>
      <c r="D566" s="1"/>
    </row>
    <row r="567" spans="1:4" x14ac:dyDescent="0.25">
      <c r="A567" s="13" t="s">
        <v>146</v>
      </c>
      <c r="B567" s="19">
        <v>1</v>
      </c>
      <c r="C567" s="1"/>
      <c r="D567" s="1"/>
    </row>
    <row r="568" spans="1:4" x14ac:dyDescent="0.25">
      <c r="A568" s="13" t="s">
        <v>147</v>
      </c>
      <c r="B568" s="19">
        <v>1</v>
      </c>
      <c r="C568" s="1"/>
      <c r="D568" s="1"/>
    </row>
    <row r="569" spans="1:4" x14ac:dyDescent="0.25">
      <c r="A569" s="13" t="s">
        <v>148</v>
      </c>
      <c r="B569" s="19">
        <v>1</v>
      </c>
      <c r="C569" s="1"/>
      <c r="D569" s="1"/>
    </row>
    <row r="570" spans="1:4" x14ac:dyDescent="0.25">
      <c r="A570" s="13" t="s">
        <v>149</v>
      </c>
      <c r="B570" s="19">
        <v>1</v>
      </c>
      <c r="C570" s="1"/>
      <c r="D570" s="1"/>
    </row>
    <row r="571" spans="1:4" x14ac:dyDescent="0.25">
      <c r="A571" s="13" t="s">
        <v>150</v>
      </c>
      <c r="B571" s="19">
        <v>1</v>
      </c>
      <c r="C571" s="1"/>
      <c r="D571" s="1"/>
    </row>
    <row r="572" spans="1:4" x14ac:dyDescent="0.25">
      <c r="A572" s="13" t="s">
        <v>151</v>
      </c>
      <c r="B572" s="19">
        <v>1</v>
      </c>
      <c r="C572" s="1"/>
      <c r="D572" s="1"/>
    </row>
    <row r="573" spans="1:4" x14ac:dyDescent="0.25">
      <c r="A573" s="13" t="s">
        <v>152</v>
      </c>
      <c r="B573" s="19">
        <v>1</v>
      </c>
      <c r="C573" s="1"/>
      <c r="D573" s="1"/>
    </row>
    <row r="574" spans="1:4" x14ac:dyDescent="0.25">
      <c r="A574" s="13" t="s">
        <v>153</v>
      </c>
      <c r="B574" s="19">
        <v>1</v>
      </c>
      <c r="C574" s="1"/>
      <c r="D574" s="1"/>
    </row>
    <row r="575" spans="1:4" x14ac:dyDescent="0.25">
      <c r="A575" s="13" t="s">
        <v>154</v>
      </c>
      <c r="B575" s="19">
        <v>1</v>
      </c>
      <c r="C575" s="1"/>
      <c r="D575" s="1"/>
    </row>
    <row r="576" spans="1:4" x14ac:dyDescent="0.25">
      <c r="A576" s="13" t="s">
        <v>155</v>
      </c>
      <c r="B576" s="19">
        <v>1</v>
      </c>
      <c r="C576" s="1"/>
      <c r="D576" s="1"/>
    </row>
    <row r="577" spans="1:4" x14ac:dyDescent="0.25">
      <c r="A577" s="13" t="s">
        <v>156</v>
      </c>
      <c r="B577" s="19">
        <v>1</v>
      </c>
      <c r="C577" s="1"/>
      <c r="D577" s="1"/>
    </row>
    <row r="578" spans="1:4" x14ac:dyDescent="0.25">
      <c r="A578" s="13" t="s">
        <v>157</v>
      </c>
      <c r="B578" s="19">
        <v>1</v>
      </c>
      <c r="C578" s="1"/>
      <c r="D578" s="1"/>
    </row>
    <row r="579" spans="1:4" x14ac:dyDescent="0.25">
      <c r="A579" s="13" t="s">
        <v>158</v>
      </c>
      <c r="B579" s="19"/>
      <c r="C579" s="1"/>
      <c r="D579" s="1"/>
    </row>
    <row r="580" spans="1:4" x14ac:dyDescent="0.25">
      <c r="A580" s="16"/>
      <c r="B580" s="26"/>
      <c r="C580" s="1" t="s">
        <v>339</v>
      </c>
      <c r="D580" s="1" t="s">
        <v>340</v>
      </c>
    </row>
    <row r="581" spans="1:4" x14ac:dyDescent="0.25">
      <c r="A581" s="1" t="s">
        <v>159</v>
      </c>
      <c r="B581" s="26">
        <v>4</v>
      </c>
      <c r="C581" s="1"/>
      <c r="D581" s="1"/>
    </row>
    <row r="582" spans="1:4" x14ac:dyDescent="0.25">
      <c r="A582" s="1" t="s">
        <v>159</v>
      </c>
      <c r="B582" s="26">
        <v>10</v>
      </c>
      <c r="C582" s="1"/>
      <c r="D582" s="1"/>
    </row>
    <row r="583" spans="1:4" x14ac:dyDescent="0.25">
      <c r="A583" s="1" t="s">
        <v>159</v>
      </c>
      <c r="B583" s="26">
        <v>20</v>
      </c>
      <c r="C583" s="1"/>
      <c r="D583" s="1"/>
    </row>
    <row r="584" spans="1:4" x14ac:dyDescent="0.25">
      <c r="A584" s="1" t="s">
        <v>159</v>
      </c>
      <c r="B584" s="26"/>
      <c r="C584" s="1"/>
      <c r="D584" s="1"/>
    </row>
    <row r="585" spans="1:4" x14ac:dyDescent="0.25">
      <c r="A585" s="1"/>
      <c r="B585" s="26">
        <v>1</v>
      </c>
      <c r="C585" s="1"/>
      <c r="D585" s="1"/>
    </row>
    <row r="586" spans="1:4" x14ac:dyDescent="0.25">
      <c r="A586" s="1" t="s">
        <v>160</v>
      </c>
      <c r="B586" s="26">
        <v>4</v>
      </c>
      <c r="C586" s="1"/>
      <c r="D586" s="1"/>
    </row>
    <row r="587" spans="1:4" x14ac:dyDescent="0.25">
      <c r="A587" s="1" t="s">
        <v>160</v>
      </c>
      <c r="B587" s="26">
        <v>10</v>
      </c>
      <c r="C587" s="1"/>
      <c r="D587" s="1"/>
    </row>
    <row r="588" spans="1:4" x14ac:dyDescent="0.25">
      <c r="A588" s="1" t="s">
        <v>160</v>
      </c>
      <c r="B588" s="26">
        <v>20</v>
      </c>
      <c r="C588" s="1"/>
      <c r="D588" s="1"/>
    </row>
    <row r="589" spans="1:4" x14ac:dyDescent="0.25">
      <c r="A589" s="1" t="s">
        <v>160</v>
      </c>
      <c r="B589" s="26"/>
      <c r="C589" s="1"/>
      <c r="D589" s="1"/>
    </row>
    <row r="590" spans="1:4" x14ac:dyDescent="0.25">
      <c r="A590" s="1"/>
      <c r="B590" s="26">
        <v>1</v>
      </c>
      <c r="C590" s="1"/>
      <c r="D590" s="1"/>
    </row>
    <row r="591" spans="1:4" x14ac:dyDescent="0.25">
      <c r="A591" s="1" t="s">
        <v>161</v>
      </c>
      <c r="B591" s="26">
        <v>4</v>
      </c>
      <c r="C591" s="1"/>
      <c r="D591" s="1"/>
    </row>
    <row r="592" spans="1:4" x14ac:dyDescent="0.25">
      <c r="A592" s="1" t="s">
        <v>161</v>
      </c>
      <c r="B592" s="26">
        <v>10</v>
      </c>
      <c r="C592" s="1"/>
      <c r="D592" s="1"/>
    </row>
    <row r="593" spans="1:4" x14ac:dyDescent="0.25">
      <c r="A593" s="1" t="s">
        <v>161</v>
      </c>
      <c r="B593" s="26">
        <v>20</v>
      </c>
      <c r="C593" s="1"/>
      <c r="D593" s="1"/>
    </row>
    <row r="594" spans="1:4" x14ac:dyDescent="0.25">
      <c r="A594" s="1" t="s">
        <v>411</v>
      </c>
      <c r="B594" s="26">
        <v>1</v>
      </c>
      <c r="C594" s="1"/>
      <c r="D594" s="1"/>
    </row>
    <row r="595" spans="1:4" x14ac:dyDescent="0.25">
      <c r="A595" s="1" t="s">
        <v>411</v>
      </c>
      <c r="B595" s="26">
        <v>4</v>
      </c>
      <c r="C595" s="1"/>
      <c r="D595" s="1"/>
    </row>
    <row r="596" spans="1:4" x14ac:dyDescent="0.25">
      <c r="A596" s="1"/>
      <c r="B596" s="1"/>
      <c r="C596" s="1" t="s">
        <v>339</v>
      </c>
      <c r="D596" s="1" t="s">
        <v>340</v>
      </c>
    </row>
    <row r="597" spans="1:4" x14ac:dyDescent="0.25">
      <c r="A597" s="13" t="s">
        <v>412</v>
      </c>
      <c r="B597" s="19">
        <v>1</v>
      </c>
      <c r="C597" s="1"/>
      <c r="D597" s="1"/>
    </row>
    <row r="598" spans="1:4" x14ac:dyDescent="0.25">
      <c r="A598" s="13" t="s">
        <v>412</v>
      </c>
      <c r="B598" s="19">
        <v>4</v>
      </c>
      <c r="C598" s="1"/>
      <c r="D598" s="1"/>
    </row>
    <row r="599" spans="1:4" x14ac:dyDescent="0.25">
      <c r="A599" s="13" t="s">
        <v>412</v>
      </c>
      <c r="B599" s="19">
        <v>10</v>
      </c>
      <c r="C599" s="1"/>
      <c r="D599" s="1"/>
    </row>
    <row r="600" spans="1:4" x14ac:dyDescent="0.25">
      <c r="A600" s="13" t="s">
        <v>412</v>
      </c>
      <c r="B600" s="19">
        <v>20</v>
      </c>
      <c r="C600" s="1"/>
      <c r="D600" s="1"/>
    </row>
    <row r="601" spans="1:4" x14ac:dyDescent="0.25">
      <c r="A601" s="13" t="s">
        <v>413</v>
      </c>
      <c r="B601" s="19">
        <v>1</v>
      </c>
      <c r="C601" s="1"/>
      <c r="D601" s="1"/>
    </row>
    <row r="602" spans="1:4" x14ac:dyDescent="0.25">
      <c r="A602" s="13" t="s">
        <v>413</v>
      </c>
      <c r="B602" s="19">
        <v>4</v>
      </c>
      <c r="C602" s="1"/>
      <c r="D602" s="1"/>
    </row>
    <row r="603" spans="1:4" x14ac:dyDescent="0.25">
      <c r="A603" s="13" t="s">
        <v>413</v>
      </c>
      <c r="B603" s="19">
        <v>10</v>
      </c>
      <c r="C603" s="1"/>
      <c r="D603" s="1"/>
    </row>
    <row r="604" spans="1:4" x14ac:dyDescent="0.25">
      <c r="A604" s="13" t="s">
        <v>413</v>
      </c>
      <c r="B604" s="19">
        <v>20</v>
      </c>
      <c r="C604" s="1"/>
      <c r="D604" s="1"/>
    </row>
    <row r="605" spans="1:4" x14ac:dyDescent="0.25">
      <c r="A605" s="13" t="s">
        <v>413</v>
      </c>
      <c r="B605" s="19">
        <v>1</v>
      </c>
      <c r="C605" s="1"/>
      <c r="D605" s="1"/>
    </row>
    <row r="606" spans="1:4" x14ac:dyDescent="0.25">
      <c r="A606" s="13" t="s">
        <v>414</v>
      </c>
      <c r="B606" s="19">
        <v>4</v>
      </c>
      <c r="C606" s="1"/>
      <c r="D606" s="1"/>
    </row>
    <row r="607" spans="1:4" x14ac:dyDescent="0.25">
      <c r="A607" s="13" t="s">
        <v>414</v>
      </c>
      <c r="B607" s="19">
        <v>10</v>
      </c>
      <c r="C607" s="1"/>
      <c r="D607" s="1"/>
    </row>
    <row r="608" spans="1:4" x14ac:dyDescent="0.25">
      <c r="A608" s="13" t="s">
        <v>414</v>
      </c>
      <c r="B608" s="19">
        <v>20</v>
      </c>
      <c r="C608" s="1"/>
      <c r="D608" s="1"/>
    </row>
    <row r="609" spans="1:4" x14ac:dyDescent="0.25">
      <c r="A609" s="13" t="s">
        <v>415</v>
      </c>
      <c r="B609" s="19">
        <v>1</v>
      </c>
      <c r="C609" s="1"/>
      <c r="D609" s="1"/>
    </row>
    <row r="610" spans="1:4" x14ac:dyDescent="0.25">
      <c r="A610" s="13" t="s">
        <v>415</v>
      </c>
      <c r="B610" s="19">
        <v>4</v>
      </c>
      <c r="C610" s="1"/>
      <c r="D610" s="1"/>
    </row>
    <row r="611" spans="1:4" x14ac:dyDescent="0.25">
      <c r="A611" s="13" t="s">
        <v>415</v>
      </c>
      <c r="B611" s="19">
        <v>10</v>
      </c>
      <c r="C611" s="1"/>
      <c r="D611" s="1"/>
    </row>
    <row r="612" spans="1:4" x14ac:dyDescent="0.25">
      <c r="A612" s="13" t="s">
        <v>415</v>
      </c>
      <c r="B612" s="19">
        <v>20</v>
      </c>
      <c r="C612" s="1"/>
      <c r="D612" s="1"/>
    </row>
    <row r="613" spans="1:4" x14ac:dyDescent="0.25">
      <c r="A613" s="1"/>
      <c r="B613" s="1"/>
      <c r="C613" s="1"/>
      <c r="D613" s="1"/>
    </row>
    <row r="618" spans="1:4" x14ac:dyDescent="0.25">
      <c r="A618" s="1"/>
    </row>
  </sheetData>
  <autoFilter ref="A2:C594" xr:uid="{00000000-0009-0000-0000-00000C000000}"/>
  <conditionalFormatting sqref="B565:D57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5"/>
  <sheetViews>
    <sheetView topLeftCell="A6" workbookViewId="0">
      <selection activeCell="G272" sqref="G272"/>
    </sheetView>
  </sheetViews>
  <sheetFormatPr defaultRowHeight="15" x14ac:dyDescent="0.25"/>
  <cols>
    <col min="1" max="1" width="34.5703125" bestFit="1" customWidth="1"/>
    <col min="2" max="2" width="7.7109375" customWidth="1"/>
    <col min="3" max="3" width="16.140625" customWidth="1"/>
    <col min="4" max="4" width="89.7109375" customWidth="1"/>
    <col min="5" max="5" width="8" customWidth="1"/>
  </cols>
  <sheetData>
    <row r="1" spans="1:7" x14ac:dyDescent="0.25">
      <c r="A1" s="1" t="s">
        <v>416</v>
      </c>
      <c r="B1" s="1" t="s">
        <v>417</v>
      </c>
      <c r="C1" s="1" t="s">
        <v>393</v>
      </c>
      <c r="D1" s="1" t="s">
        <v>418</v>
      </c>
      <c r="E1" s="1" t="s">
        <v>419</v>
      </c>
    </row>
    <row r="2" spans="1:7" x14ac:dyDescent="0.25">
      <c r="A2" s="13" t="s">
        <v>420</v>
      </c>
      <c r="B2" s="19"/>
      <c r="C2" s="1"/>
      <c r="D2" s="1"/>
      <c r="E2" s="1"/>
    </row>
    <row r="3" spans="1:7" x14ac:dyDescent="0.25">
      <c r="A3" s="13" t="s">
        <v>421</v>
      </c>
      <c r="B3" s="19"/>
      <c r="C3" s="1"/>
      <c r="D3" s="1"/>
      <c r="E3" s="1"/>
    </row>
    <row r="4" spans="1:7" x14ac:dyDescent="0.25">
      <c r="A4" s="13" t="s">
        <v>422</v>
      </c>
      <c r="B4" s="19"/>
      <c r="C4" s="1"/>
      <c r="D4" s="1"/>
      <c r="E4" s="1"/>
    </row>
    <row r="5" spans="1:7" x14ac:dyDescent="0.25">
      <c r="A5" s="13" t="s">
        <v>423</v>
      </c>
      <c r="B5" s="19" t="s">
        <v>296</v>
      </c>
      <c r="C5" s="1"/>
      <c r="D5" s="1"/>
      <c r="E5" s="1"/>
    </row>
    <row r="6" spans="1:7" x14ac:dyDescent="0.25">
      <c r="A6" s="13" t="s">
        <v>423</v>
      </c>
      <c r="B6" s="19" t="s">
        <v>297</v>
      </c>
      <c r="C6" s="1"/>
      <c r="D6" s="1"/>
      <c r="E6" s="1"/>
    </row>
    <row r="7" spans="1:7" x14ac:dyDescent="0.25">
      <c r="A7" s="13" t="s">
        <v>424</v>
      </c>
      <c r="B7" s="19" t="s">
        <v>296</v>
      </c>
      <c r="C7" s="1"/>
      <c r="D7" s="1"/>
      <c r="E7" s="1"/>
    </row>
    <row r="8" spans="1:7" x14ac:dyDescent="0.25">
      <c r="A8" s="13" t="s">
        <v>425</v>
      </c>
      <c r="B8" s="19" t="s">
        <v>296</v>
      </c>
      <c r="C8" s="1"/>
      <c r="D8" s="1"/>
      <c r="E8" s="1"/>
    </row>
    <row r="9" spans="1:7" x14ac:dyDescent="0.25">
      <c r="A9" s="13" t="s">
        <v>426</v>
      </c>
      <c r="B9" s="19" t="s">
        <v>296</v>
      </c>
      <c r="C9" s="1"/>
      <c r="D9" s="1"/>
      <c r="E9" s="1"/>
    </row>
    <row r="10" spans="1:7" x14ac:dyDescent="0.25">
      <c r="A10" s="13" t="s">
        <v>427</v>
      </c>
      <c r="B10" s="19" t="s">
        <v>296</v>
      </c>
      <c r="C10" s="1"/>
      <c r="D10" s="1"/>
      <c r="E10" s="1"/>
    </row>
    <row r="11" spans="1:7" x14ac:dyDescent="0.25">
      <c r="A11" s="13" t="s">
        <v>427</v>
      </c>
      <c r="B11" s="19" t="s">
        <v>297</v>
      </c>
      <c r="C11" s="1"/>
      <c r="D11" s="1"/>
      <c r="E11" s="1"/>
    </row>
    <row r="12" spans="1:7" x14ac:dyDescent="0.25">
      <c r="A12" s="13" t="s">
        <v>427</v>
      </c>
      <c r="B12" s="19" t="s">
        <v>298</v>
      </c>
      <c r="C12" s="1"/>
      <c r="D12" s="1"/>
      <c r="E12" s="1"/>
    </row>
    <row r="13" spans="1:7" x14ac:dyDescent="0.25">
      <c r="A13" s="13" t="s">
        <v>428</v>
      </c>
      <c r="B13" s="19" t="s">
        <v>296</v>
      </c>
      <c r="C13" s="1"/>
      <c r="D13" s="1"/>
      <c r="E13" s="1"/>
    </row>
    <row r="14" spans="1:7" x14ac:dyDescent="0.25">
      <c r="A14" s="13" t="s">
        <v>428</v>
      </c>
      <c r="B14" s="19" t="s">
        <v>297</v>
      </c>
      <c r="C14" s="1"/>
      <c r="D14" s="1"/>
      <c r="E14" s="1"/>
    </row>
    <row r="15" spans="1:7" x14ac:dyDescent="0.25">
      <c r="A15" s="13" t="s">
        <v>429</v>
      </c>
      <c r="B15" s="8" t="s">
        <v>296</v>
      </c>
      <c r="C15" s="1"/>
      <c r="D15" s="1"/>
      <c r="E15" s="1"/>
      <c r="G15" t="s">
        <v>2926</v>
      </c>
    </row>
    <row r="16" spans="1:7" x14ac:dyDescent="0.25">
      <c r="A16" s="13" t="s">
        <v>429</v>
      </c>
      <c r="B16" s="8" t="s">
        <v>297</v>
      </c>
      <c r="C16" s="1"/>
      <c r="D16" s="1"/>
      <c r="E16" s="1"/>
    </row>
    <row r="17" spans="1:5" x14ac:dyDescent="0.25">
      <c r="A17" s="13" t="s">
        <v>430</v>
      </c>
      <c r="B17" s="8" t="s">
        <v>296</v>
      </c>
      <c r="C17" s="1"/>
      <c r="D17" s="1"/>
      <c r="E17" s="1"/>
    </row>
    <row r="18" spans="1:5" x14ac:dyDescent="0.25">
      <c r="A18" s="13" t="s">
        <v>431</v>
      </c>
      <c r="B18" s="8" t="s">
        <v>296</v>
      </c>
      <c r="C18" s="1"/>
      <c r="D18" s="1"/>
      <c r="E18" s="1"/>
    </row>
    <row r="19" spans="1:5" x14ac:dyDescent="0.25">
      <c r="A19" s="13" t="s">
        <v>432</v>
      </c>
      <c r="B19" s="8" t="s">
        <v>296</v>
      </c>
      <c r="C19" s="1"/>
      <c r="D19" s="1"/>
      <c r="E19" s="1"/>
    </row>
    <row r="20" spans="1:5" x14ac:dyDescent="0.25">
      <c r="A20" s="13" t="s">
        <v>433</v>
      </c>
      <c r="B20" s="8" t="s">
        <v>296</v>
      </c>
      <c r="C20" s="1"/>
      <c r="D20" s="1"/>
      <c r="E20" s="1"/>
    </row>
    <row r="21" spans="1:5" x14ac:dyDescent="0.25">
      <c r="A21" s="13" t="s">
        <v>434</v>
      </c>
      <c r="B21" s="18" t="s">
        <v>244</v>
      </c>
      <c r="C21" s="1"/>
      <c r="D21" s="1"/>
      <c r="E21" s="1"/>
    </row>
    <row r="22" spans="1:5" x14ac:dyDescent="0.25">
      <c r="A22" s="13" t="s">
        <v>435</v>
      </c>
      <c r="B22" s="18" t="s">
        <v>296</v>
      </c>
      <c r="C22" s="1"/>
      <c r="D22" s="1"/>
      <c r="E22" s="1"/>
    </row>
    <row r="23" spans="1:5" x14ac:dyDescent="0.25">
      <c r="A23" s="13" t="s">
        <v>436</v>
      </c>
      <c r="B23" s="18" t="s">
        <v>296</v>
      </c>
      <c r="C23" s="1"/>
      <c r="D23" s="1"/>
      <c r="E23" s="1"/>
    </row>
    <row r="24" spans="1:5" x14ac:dyDescent="0.25">
      <c r="A24" s="13" t="s">
        <v>437</v>
      </c>
      <c r="B24" s="18" t="s">
        <v>296</v>
      </c>
      <c r="C24" s="1"/>
      <c r="D24" s="1"/>
      <c r="E24" s="1"/>
    </row>
    <row r="25" spans="1:5" x14ac:dyDescent="0.25">
      <c r="A25" s="13" t="s">
        <v>438</v>
      </c>
      <c r="B25" s="18" t="s">
        <v>296</v>
      </c>
      <c r="C25" s="1"/>
      <c r="D25" s="1"/>
      <c r="E25" s="1"/>
    </row>
    <row r="26" spans="1:5" x14ac:dyDescent="0.25">
      <c r="A26" s="13" t="s">
        <v>438</v>
      </c>
      <c r="B26" s="18" t="s">
        <v>439</v>
      </c>
      <c r="C26" s="1"/>
      <c r="D26" s="1"/>
      <c r="E26" s="1"/>
    </row>
    <row r="27" spans="1:5" x14ac:dyDescent="0.25">
      <c r="A27" s="13" t="s">
        <v>440</v>
      </c>
      <c r="B27" s="1" t="s">
        <v>296</v>
      </c>
      <c r="C27" s="1"/>
      <c r="D27" s="1"/>
      <c r="E27" s="1"/>
    </row>
    <row r="28" spans="1:5" x14ac:dyDescent="0.25">
      <c r="A28" s="13" t="s">
        <v>441</v>
      </c>
      <c r="B28" s="1" t="s">
        <v>296</v>
      </c>
      <c r="C28" s="1"/>
      <c r="D28" s="1"/>
      <c r="E28" s="1"/>
    </row>
    <row r="29" spans="1:5" x14ac:dyDescent="0.25">
      <c r="A29" s="13" t="s">
        <v>442</v>
      </c>
      <c r="B29" s="19" t="s">
        <v>296</v>
      </c>
      <c r="C29" s="1"/>
      <c r="D29" s="1"/>
      <c r="E29" s="1"/>
    </row>
    <row r="30" spans="1:5" x14ac:dyDescent="0.25">
      <c r="A30" s="13" t="s">
        <v>443</v>
      </c>
      <c r="B30" s="19" t="s">
        <v>296</v>
      </c>
      <c r="C30" s="1"/>
      <c r="D30" s="1"/>
      <c r="E30" s="1"/>
    </row>
    <row r="31" spans="1:5" x14ac:dyDescent="0.25">
      <c r="A31" s="13" t="s">
        <v>444</v>
      </c>
      <c r="B31" s="19" t="s">
        <v>296</v>
      </c>
      <c r="C31" s="1"/>
      <c r="D31" s="1"/>
      <c r="E31" s="1"/>
    </row>
    <row r="32" spans="1:5" x14ac:dyDescent="0.25">
      <c r="A32" s="13" t="s">
        <v>445</v>
      </c>
      <c r="B32" s="8" t="s">
        <v>296</v>
      </c>
      <c r="C32" s="1"/>
      <c r="D32" s="1"/>
      <c r="E32" s="1"/>
    </row>
    <row r="33" spans="1:5" x14ac:dyDescent="0.25">
      <c r="A33" s="13" t="s">
        <v>446</v>
      </c>
      <c r="B33" s="8" t="s">
        <v>296</v>
      </c>
      <c r="C33" s="1"/>
      <c r="D33" s="1"/>
      <c r="E33" s="1"/>
    </row>
    <row r="34" spans="1:5" x14ac:dyDescent="0.25">
      <c r="A34" s="1" t="s">
        <v>447</v>
      </c>
      <c r="B34" s="1" t="s">
        <v>296</v>
      </c>
      <c r="C34" s="1"/>
      <c r="D34" s="1"/>
      <c r="E34" s="1"/>
    </row>
    <row r="35" spans="1:5" x14ac:dyDescent="0.25">
      <c r="A35" s="1" t="s">
        <v>447</v>
      </c>
      <c r="B35" s="26" t="s">
        <v>246</v>
      </c>
      <c r="C35" s="1"/>
      <c r="D35" s="1"/>
      <c r="E35" s="1"/>
    </row>
    <row r="36" spans="1:5" x14ac:dyDescent="0.25">
      <c r="A36" s="1" t="s">
        <v>447</v>
      </c>
      <c r="B36" s="26" t="s">
        <v>245</v>
      </c>
      <c r="C36" s="1"/>
      <c r="D36" s="1"/>
      <c r="E36" s="1"/>
    </row>
    <row r="37" spans="1:5" x14ac:dyDescent="0.25">
      <c r="A37" s="1" t="s">
        <v>447</v>
      </c>
      <c r="B37" s="26" t="s">
        <v>244</v>
      </c>
      <c r="C37" s="1"/>
      <c r="D37" s="1"/>
      <c r="E37" s="1"/>
    </row>
    <row r="38" spans="1:5" x14ac:dyDescent="0.25">
      <c r="A38" s="1" t="s">
        <v>448</v>
      </c>
      <c r="B38" s="26" t="s">
        <v>296</v>
      </c>
      <c r="C38" s="1"/>
      <c r="D38" s="1"/>
      <c r="E38" s="1"/>
    </row>
    <row r="39" spans="1:5" x14ac:dyDescent="0.25">
      <c r="A39" s="1" t="s">
        <v>449</v>
      </c>
      <c r="B39" s="26" t="s">
        <v>244</v>
      </c>
      <c r="C39" s="1"/>
      <c r="D39" s="1"/>
      <c r="E39" s="1"/>
    </row>
    <row r="40" spans="1:5" x14ac:dyDescent="0.25">
      <c r="A40" s="1" t="s">
        <v>450</v>
      </c>
      <c r="B40" s="26" t="s">
        <v>296</v>
      </c>
      <c r="C40" s="1"/>
      <c r="D40" s="1"/>
      <c r="E40" s="1"/>
    </row>
    <row r="41" spans="1:5" x14ac:dyDescent="0.25">
      <c r="A41" s="1" t="s">
        <v>450</v>
      </c>
      <c r="B41" s="26" t="s">
        <v>255</v>
      </c>
      <c r="C41" s="1"/>
      <c r="D41" s="1"/>
      <c r="E41" s="1"/>
    </row>
    <row r="42" spans="1:5" x14ac:dyDescent="0.25">
      <c r="A42" s="1" t="s">
        <v>450</v>
      </c>
      <c r="B42" s="26" t="s">
        <v>241</v>
      </c>
      <c r="C42" s="1"/>
      <c r="D42" s="1"/>
      <c r="E42" s="1"/>
    </row>
    <row r="43" spans="1:5" x14ac:dyDescent="0.25">
      <c r="A43" s="1" t="s">
        <v>451</v>
      </c>
      <c r="B43" s="26" t="s">
        <v>296</v>
      </c>
      <c r="C43" s="1"/>
      <c r="D43" s="1"/>
      <c r="E43" s="1"/>
    </row>
    <row r="44" spans="1:5" x14ac:dyDescent="0.25">
      <c r="A44" s="1" t="s">
        <v>452</v>
      </c>
      <c r="B44" s="26" t="s">
        <v>296</v>
      </c>
      <c r="C44" s="1"/>
      <c r="D44" s="1"/>
      <c r="E44" s="1"/>
    </row>
    <row r="45" spans="1:5" x14ac:dyDescent="0.25">
      <c r="A45" s="1" t="s">
        <v>453</v>
      </c>
      <c r="B45" s="26" t="s">
        <v>296</v>
      </c>
      <c r="C45" s="1"/>
      <c r="D45" s="1"/>
      <c r="E45" s="1"/>
    </row>
    <row r="46" spans="1:5" x14ac:dyDescent="0.25">
      <c r="A46" s="1" t="s">
        <v>453</v>
      </c>
      <c r="B46" s="26" t="s">
        <v>297</v>
      </c>
      <c r="C46" s="1"/>
      <c r="D46" s="1"/>
      <c r="E46" s="1"/>
    </row>
    <row r="47" spans="1:5" x14ac:dyDescent="0.25">
      <c r="A47" s="1" t="s">
        <v>453</v>
      </c>
      <c r="B47" s="26" t="s">
        <v>245</v>
      </c>
      <c r="C47" s="1"/>
      <c r="D47" s="1"/>
      <c r="E47" s="1"/>
    </row>
    <row r="48" spans="1:5" x14ac:dyDescent="0.25">
      <c r="A48" s="1" t="s">
        <v>453</v>
      </c>
      <c r="B48" s="26" t="s">
        <v>244</v>
      </c>
      <c r="C48" s="1"/>
      <c r="D48" s="1"/>
      <c r="E48" s="1"/>
    </row>
    <row r="49" spans="1:5" x14ac:dyDescent="0.25">
      <c r="A49" s="1" t="s">
        <v>453</v>
      </c>
      <c r="B49" s="26" t="s">
        <v>265</v>
      </c>
      <c r="C49" s="1"/>
      <c r="D49" s="1"/>
      <c r="E49" s="1"/>
    </row>
    <row r="50" spans="1:5" x14ac:dyDescent="0.25">
      <c r="A50" s="1" t="s">
        <v>454</v>
      </c>
      <c r="B50" s="26" t="s">
        <v>245</v>
      </c>
      <c r="C50" s="1"/>
      <c r="D50" s="1"/>
      <c r="E50" s="1"/>
    </row>
    <row r="51" spans="1:5" x14ac:dyDescent="0.25">
      <c r="A51" s="1" t="s">
        <v>454</v>
      </c>
      <c r="B51" s="26" t="s">
        <v>244</v>
      </c>
      <c r="C51" s="1"/>
      <c r="D51" s="1"/>
      <c r="E51" s="1"/>
    </row>
    <row r="52" spans="1:5" x14ac:dyDescent="0.25">
      <c r="A52" s="1" t="s">
        <v>454</v>
      </c>
      <c r="B52" s="26" t="s">
        <v>265</v>
      </c>
      <c r="C52" s="1"/>
      <c r="D52" s="1"/>
      <c r="E52" s="1"/>
    </row>
    <row r="53" spans="1:5" x14ac:dyDescent="0.25">
      <c r="A53" s="1" t="s">
        <v>455</v>
      </c>
      <c r="B53" s="26" t="s">
        <v>245</v>
      </c>
      <c r="C53" s="1"/>
      <c r="D53" s="1"/>
      <c r="E53" s="1"/>
    </row>
    <row r="54" spans="1:5" x14ac:dyDescent="0.25">
      <c r="A54" s="1" t="s">
        <v>455</v>
      </c>
      <c r="B54" s="1" t="s">
        <v>244</v>
      </c>
      <c r="C54" s="1"/>
      <c r="D54" s="1"/>
      <c r="E54" s="1"/>
    </row>
    <row r="55" spans="1:5" x14ac:dyDescent="0.25">
      <c r="A55" s="1" t="s">
        <v>455</v>
      </c>
      <c r="B55" s="19" t="s">
        <v>265</v>
      </c>
      <c r="C55" s="1"/>
      <c r="D55" s="1"/>
      <c r="E55" s="1"/>
    </row>
    <row r="56" spans="1:5" x14ac:dyDescent="0.25">
      <c r="A56" s="13" t="s">
        <v>456</v>
      </c>
      <c r="B56" s="19" t="s">
        <v>296</v>
      </c>
      <c r="C56" s="1"/>
      <c r="D56" s="1"/>
      <c r="E56" s="1"/>
    </row>
    <row r="57" spans="1:5" x14ac:dyDescent="0.25">
      <c r="A57" s="13" t="s">
        <v>456</v>
      </c>
      <c r="B57" s="19" t="s">
        <v>246</v>
      </c>
      <c r="C57" s="1"/>
      <c r="D57" s="1"/>
      <c r="E57" s="1"/>
    </row>
    <row r="58" spans="1:5" x14ac:dyDescent="0.25">
      <c r="A58" s="13" t="s">
        <v>456</v>
      </c>
      <c r="B58" s="19" t="s">
        <v>457</v>
      </c>
      <c r="C58" s="1"/>
      <c r="D58" s="1"/>
      <c r="E58" s="1"/>
    </row>
    <row r="59" spans="1:5" x14ac:dyDescent="0.25">
      <c r="A59" s="13" t="s">
        <v>458</v>
      </c>
      <c r="B59" s="1" t="s">
        <v>459</v>
      </c>
      <c r="C59" s="1"/>
      <c r="D59" s="1"/>
      <c r="E59" s="1"/>
    </row>
    <row r="60" spans="1:5" x14ac:dyDescent="0.25">
      <c r="A60" s="13" t="s">
        <v>460</v>
      </c>
      <c r="B60" s="19" t="s">
        <v>277</v>
      </c>
      <c r="C60" s="1"/>
      <c r="D60" s="1"/>
      <c r="E60" s="1"/>
    </row>
    <row r="61" spans="1:5" x14ac:dyDescent="0.25">
      <c r="A61" s="13" t="s">
        <v>461</v>
      </c>
      <c r="B61" s="19" t="s">
        <v>277</v>
      </c>
      <c r="C61" s="1"/>
      <c r="D61" s="1"/>
      <c r="E61" s="1"/>
    </row>
    <row r="62" spans="1:5" x14ac:dyDescent="0.25">
      <c r="A62" s="13" t="s">
        <v>462</v>
      </c>
      <c r="B62" s="19" t="s">
        <v>459</v>
      </c>
      <c r="C62" s="1"/>
      <c r="D62" s="1"/>
      <c r="E62" s="1"/>
    </row>
    <row r="63" spans="1:5" x14ac:dyDescent="0.25">
      <c r="A63" s="13" t="s">
        <v>463</v>
      </c>
      <c r="B63" s="19" t="s">
        <v>459</v>
      </c>
      <c r="C63" s="1"/>
      <c r="D63" s="1"/>
      <c r="E63" s="1"/>
    </row>
    <row r="64" spans="1:5" x14ac:dyDescent="0.25">
      <c r="A64" s="1" t="s">
        <v>464</v>
      </c>
      <c r="B64" s="1" t="s">
        <v>465</v>
      </c>
      <c r="C64" s="1"/>
      <c r="D64" s="1"/>
      <c r="E64" s="1"/>
    </row>
    <row r="65" spans="1:5" x14ac:dyDescent="0.25">
      <c r="A65" s="1" t="s">
        <v>466</v>
      </c>
      <c r="B65" s="19"/>
      <c r="C65" s="1"/>
      <c r="D65" s="1"/>
      <c r="E65" s="1"/>
    </row>
    <row r="66" spans="1:5" x14ac:dyDescent="0.25">
      <c r="A66" s="1" t="s">
        <v>467</v>
      </c>
      <c r="B66" s="19"/>
      <c r="C66" s="1"/>
      <c r="D66" s="1"/>
      <c r="E66" s="1"/>
    </row>
    <row r="67" spans="1:5" x14ac:dyDescent="0.25">
      <c r="A67" s="1" t="s">
        <v>468</v>
      </c>
      <c r="B67" s="19"/>
      <c r="C67" s="1"/>
      <c r="D67" s="1"/>
      <c r="E67" s="1"/>
    </row>
    <row r="68" spans="1:5" x14ac:dyDescent="0.25">
      <c r="A68" s="1" t="s">
        <v>469</v>
      </c>
      <c r="B68" s="19"/>
      <c r="C68" s="1"/>
      <c r="D68" s="1"/>
      <c r="E68" s="1"/>
    </row>
    <row r="69" spans="1:5" x14ac:dyDescent="0.25">
      <c r="A69" s="1" t="s">
        <v>470</v>
      </c>
      <c r="B69" s="1"/>
      <c r="C69" s="1"/>
      <c r="D69" s="1"/>
      <c r="E69" s="1"/>
    </row>
    <row r="70" spans="1:5" x14ac:dyDescent="0.25">
      <c r="A70" s="1" t="s">
        <v>471</v>
      </c>
      <c r="B70" s="19"/>
      <c r="C70" s="1"/>
      <c r="D70" s="1"/>
      <c r="E70" s="1"/>
    </row>
    <row r="71" spans="1:5" x14ac:dyDescent="0.25">
      <c r="A71" s="1" t="s">
        <v>472</v>
      </c>
      <c r="B71" s="19"/>
      <c r="C71" s="1"/>
      <c r="D71" s="1"/>
      <c r="E71" s="1"/>
    </row>
    <row r="72" spans="1:5" x14ac:dyDescent="0.25">
      <c r="A72" s="1" t="s">
        <v>473</v>
      </c>
      <c r="B72" s="19"/>
      <c r="C72" s="1"/>
      <c r="D72" s="1"/>
      <c r="E72" s="1"/>
    </row>
    <row r="73" spans="1:5" x14ac:dyDescent="0.25">
      <c r="A73" s="13" t="s">
        <v>474</v>
      </c>
      <c r="B73" s="19"/>
      <c r="C73" s="1"/>
      <c r="D73" s="1"/>
      <c r="E73" s="1"/>
    </row>
    <row r="74" spans="1:5" x14ac:dyDescent="0.25">
      <c r="A74" s="13" t="s">
        <v>475</v>
      </c>
      <c r="B74" s="19"/>
      <c r="C74" s="1"/>
      <c r="D74" s="1"/>
      <c r="E74" s="1"/>
    </row>
    <row r="75" spans="1:5" x14ac:dyDescent="0.25">
      <c r="A75" s="13" t="s">
        <v>476</v>
      </c>
      <c r="B75" s="1"/>
      <c r="C75" s="1"/>
      <c r="D75" s="1"/>
      <c r="E75" s="1"/>
    </row>
    <row r="76" spans="1:5" x14ac:dyDescent="0.25">
      <c r="A76" s="13" t="s">
        <v>477</v>
      </c>
      <c r="B76" s="19"/>
      <c r="C76" s="1"/>
      <c r="D76" s="1"/>
      <c r="E76" s="1"/>
    </row>
    <row r="77" spans="1:5" x14ac:dyDescent="0.25">
      <c r="A77" s="13" t="s">
        <v>477</v>
      </c>
      <c r="B77" s="19"/>
      <c r="C77" s="1"/>
      <c r="D77" s="1"/>
      <c r="E77" s="1"/>
    </row>
    <row r="78" spans="1:5" x14ac:dyDescent="0.25">
      <c r="A78" s="13" t="s">
        <v>478</v>
      </c>
      <c r="B78" s="19"/>
      <c r="C78" s="1"/>
      <c r="D78" s="1"/>
      <c r="E78" s="1"/>
    </row>
    <row r="79" spans="1:5" x14ac:dyDescent="0.25">
      <c r="A79" s="13" t="s">
        <v>479</v>
      </c>
      <c r="B79" s="19"/>
      <c r="C79" s="1"/>
      <c r="D79" s="1"/>
      <c r="E79" s="1"/>
    </row>
    <row r="80" spans="1:5" x14ac:dyDescent="0.25">
      <c r="A80" s="13" t="s">
        <v>480</v>
      </c>
      <c r="B80" s="19"/>
      <c r="C80" s="1"/>
      <c r="D80" s="1"/>
      <c r="E80" s="1"/>
    </row>
    <row r="81" spans="1:5" x14ac:dyDescent="0.25">
      <c r="A81" s="13" t="s">
        <v>481</v>
      </c>
      <c r="B81" s="19">
        <v>1</v>
      </c>
      <c r="C81" s="1"/>
      <c r="D81" s="1"/>
      <c r="E81" s="1"/>
    </row>
    <row r="82" spans="1:5" x14ac:dyDescent="0.25">
      <c r="A82" s="13" t="s">
        <v>481</v>
      </c>
      <c r="B82" s="19">
        <v>4</v>
      </c>
      <c r="C82" s="1"/>
      <c r="D82" s="1"/>
      <c r="E82" s="1"/>
    </row>
    <row r="83" spans="1:5" x14ac:dyDescent="0.25">
      <c r="A83" s="13" t="s">
        <v>482</v>
      </c>
      <c r="B83" s="19" t="s">
        <v>483</v>
      </c>
      <c r="C83" s="1"/>
      <c r="D83" s="1"/>
      <c r="E83" s="1"/>
    </row>
    <row r="84" spans="1:5" x14ac:dyDescent="0.25">
      <c r="A84" s="13" t="s">
        <v>482</v>
      </c>
      <c r="B84" s="19" t="s">
        <v>484</v>
      </c>
      <c r="C84" s="1"/>
      <c r="D84" s="1"/>
      <c r="E84" s="1"/>
    </row>
    <row r="85" spans="1:5" x14ac:dyDescent="0.25">
      <c r="A85" s="13" t="s">
        <v>482</v>
      </c>
      <c r="B85" s="19" t="s">
        <v>485</v>
      </c>
      <c r="C85" s="1"/>
      <c r="D85" s="1"/>
      <c r="E85" s="1"/>
    </row>
    <row r="86" spans="1:5" x14ac:dyDescent="0.25">
      <c r="A86" s="13" t="s">
        <v>486</v>
      </c>
      <c r="B86" s="19" t="s">
        <v>296</v>
      </c>
      <c r="C86" s="1"/>
      <c r="D86" s="1"/>
      <c r="E86" s="1"/>
    </row>
    <row r="87" spans="1:5" x14ac:dyDescent="0.25">
      <c r="A87" s="13" t="s">
        <v>487</v>
      </c>
      <c r="B87" s="19" t="s">
        <v>296</v>
      </c>
      <c r="C87" s="1"/>
      <c r="D87" s="1"/>
      <c r="E87" s="1"/>
    </row>
    <row r="88" spans="1:5" x14ac:dyDescent="0.25">
      <c r="A88" s="13" t="s">
        <v>488</v>
      </c>
      <c r="B88" s="19"/>
      <c r="C88" s="1"/>
      <c r="D88" s="1"/>
      <c r="E88" s="1"/>
    </row>
    <row r="89" spans="1:5" x14ac:dyDescent="0.25">
      <c r="A89" s="13" t="s">
        <v>489</v>
      </c>
      <c r="B89" s="19"/>
      <c r="C89" s="1"/>
      <c r="D89" s="1"/>
      <c r="E89" s="1"/>
    </row>
    <row r="90" spans="1:5" x14ac:dyDescent="0.25">
      <c r="A90" s="13"/>
      <c r="B90" s="19"/>
      <c r="C90" s="1"/>
      <c r="D90" s="1"/>
      <c r="E90" s="1"/>
    </row>
    <row r="91" spans="1:5" x14ac:dyDescent="0.25">
      <c r="A91" s="13"/>
      <c r="B91" s="19"/>
      <c r="C91" s="1"/>
      <c r="D91" s="1"/>
      <c r="E91" s="1"/>
    </row>
    <row r="92" spans="1:5" x14ac:dyDescent="0.25">
      <c r="A92" s="13"/>
      <c r="B92" s="19"/>
      <c r="C92" s="1"/>
      <c r="D92" s="1"/>
      <c r="E92" s="1"/>
    </row>
    <row r="93" spans="1:5" x14ac:dyDescent="0.25">
      <c r="A93" s="13"/>
      <c r="B93" s="19"/>
      <c r="C93" s="1"/>
      <c r="D93" s="1"/>
      <c r="E93" s="1"/>
    </row>
    <row r="94" spans="1:5" x14ac:dyDescent="0.25">
      <c r="A94" s="13"/>
      <c r="B94" s="19"/>
      <c r="C94" s="1"/>
      <c r="D94" s="1"/>
      <c r="E94" s="1"/>
    </row>
    <row r="95" spans="1:5" x14ac:dyDescent="0.25">
      <c r="A95" s="13"/>
      <c r="B95" s="19"/>
      <c r="C95" s="1"/>
      <c r="D95" s="1"/>
      <c r="E95" s="1"/>
    </row>
    <row r="96" spans="1:5" x14ac:dyDescent="0.25">
      <c r="A96" s="13"/>
      <c r="B96" s="19"/>
      <c r="C96" s="1"/>
      <c r="D96" s="1"/>
      <c r="E96" s="1"/>
    </row>
    <row r="97" spans="1:5" x14ac:dyDescent="0.25">
      <c r="A97" s="13"/>
      <c r="B97" s="19"/>
      <c r="C97" s="1"/>
      <c r="D97" s="1"/>
      <c r="E97" s="1"/>
    </row>
    <row r="98" spans="1:5" x14ac:dyDescent="0.25">
      <c r="A98" s="13"/>
      <c r="B98" s="19"/>
      <c r="C98" s="1"/>
      <c r="D98" s="1"/>
      <c r="E98" s="1"/>
    </row>
    <row r="99" spans="1:5" x14ac:dyDescent="0.25">
      <c r="A99" s="13"/>
      <c r="B99" s="19"/>
      <c r="C99" s="1"/>
      <c r="D99" s="1"/>
      <c r="E99" s="1"/>
    </row>
    <row r="100" spans="1:5" x14ac:dyDescent="0.25">
      <c r="A100" s="13"/>
      <c r="B100" s="19"/>
      <c r="C100" s="1"/>
      <c r="D100" s="1"/>
      <c r="E100" s="1"/>
    </row>
    <row r="101" spans="1:5" x14ac:dyDescent="0.25">
      <c r="A101" s="13"/>
      <c r="B101" s="19"/>
      <c r="C101" s="1"/>
      <c r="D101" s="1"/>
      <c r="E101" s="1"/>
    </row>
    <row r="102" spans="1:5" x14ac:dyDescent="0.25">
      <c r="A102" s="13"/>
      <c r="B102" s="19"/>
      <c r="C102" s="1"/>
      <c r="D102" s="1"/>
      <c r="E102" s="1"/>
    </row>
    <row r="103" spans="1:5" x14ac:dyDescent="0.25">
      <c r="A103" s="13"/>
      <c r="B103" s="19"/>
      <c r="C103" s="1"/>
      <c r="D103" s="1"/>
      <c r="E103" s="1"/>
    </row>
    <row r="104" spans="1:5" x14ac:dyDescent="0.25">
      <c r="A104" s="13"/>
      <c r="B104" s="19"/>
      <c r="C104" s="1"/>
      <c r="D104" s="1"/>
      <c r="E104" s="1"/>
    </row>
    <row r="105" spans="1:5" x14ac:dyDescent="0.25">
      <c r="A105" s="13"/>
      <c r="B105" s="19"/>
      <c r="C105" s="1"/>
      <c r="D105" s="1"/>
      <c r="E105" s="1"/>
    </row>
    <row r="106" spans="1:5" x14ac:dyDescent="0.25">
      <c r="A106" s="13"/>
      <c r="B106" s="19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3"/>
      <c r="B108" s="19"/>
      <c r="C108" s="1"/>
      <c r="D108" s="1"/>
      <c r="E108" s="1"/>
    </row>
    <row r="109" spans="1:5" x14ac:dyDescent="0.25">
      <c r="A109" s="13"/>
      <c r="B109" s="19"/>
      <c r="C109" s="1"/>
      <c r="D109" s="1"/>
      <c r="E109" s="1"/>
    </row>
    <row r="110" spans="1:5" x14ac:dyDescent="0.25">
      <c r="A110" s="13"/>
      <c r="B110" s="19"/>
      <c r="C110" s="1"/>
      <c r="D110" s="1"/>
      <c r="E110" s="1"/>
    </row>
    <row r="111" spans="1:5" x14ac:dyDescent="0.25">
      <c r="A111" s="13"/>
      <c r="B111" s="19"/>
      <c r="C111" s="1"/>
      <c r="D111" s="1"/>
      <c r="E111" s="1"/>
    </row>
    <row r="112" spans="1:5" x14ac:dyDescent="0.25">
      <c r="A112" s="13"/>
      <c r="B112" s="19"/>
      <c r="C112" s="1"/>
      <c r="D112" s="1"/>
      <c r="E112" s="1"/>
    </row>
    <row r="113" spans="1:5" x14ac:dyDescent="0.25">
      <c r="A113" s="13"/>
      <c r="B113" s="19"/>
      <c r="C113" s="1"/>
      <c r="D113" s="1"/>
      <c r="E113" s="1"/>
    </row>
    <row r="114" spans="1:5" x14ac:dyDescent="0.25">
      <c r="A114" s="13"/>
      <c r="B114" s="19"/>
      <c r="C114" s="1"/>
      <c r="D114" s="1"/>
      <c r="E114" s="1"/>
    </row>
    <row r="115" spans="1:5" x14ac:dyDescent="0.25">
      <c r="A115" s="13"/>
      <c r="B115" s="19"/>
      <c r="C115" s="1"/>
      <c r="D115" s="1"/>
      <c r="E115" s="1"/>
    </row>
    <row r="116" spans="1:5" x14ac:dyDescent="0.25">
      <c r="A116" s="13"/>
      <c r="B116" s="19"/>
      <c r="C116" s="1"/>
      <c r="D116" s="1"/>
      <c r="E116" s="1"/>
    </row>
    <row r="117" spans="1:5" x14ac:dyDescent="0.25">
      <c r="A117" s="13"/>
      <c r="B117" s="19"/>
      <c r="C117" s="1"/>
      <c r="D117" s="1"/>
      <c r="E117" s="1"/>
    </row>
    <row r="118" spans="1:5" x14ac:dyDescent="0.25">
      <c r="A118" s="13"/>
      <c r="B118" s="19"/>
      <c r="C118" s="1"/>
      <c r="D118" s="1"/>
      <c r="E118" s="1"/>
    </row>
    <row r="119" spans="1:5" x14ac:dyDescent="0.25">
      <c r="A119" s="13"/>
      <c r="B119" s="19"/>
      <c r="C119" s="1"/>
      <c r="D119" s="1"/>
      <c r="E119" s="1"/>
    </row>
    <row r="120" spans="1:5" x14ac:dyDescent="0.25">
      <c r="A120" s="13"/>
      <c r="B120" s="19"/>
      <c r="C120" s="1"/>
      <c r="D120" s="1"/>
      <c r="E120" s="1"/>
    </row>
    <row r="121" spans="1:5" x14ac:dyDescent="0.25">
      <c r="A121" s="13"/>
      <c r="B121" s="19"/>
      <c r="C121" s="1"/>
      <c r="D121" s="1"/>
      <c r="E121" s="1"/>
    </row>
    <row r="122" spans="1:5" x14ac:dyDescent="0.25">
      <c r="A122" s="13"/>
      <c r="B122" s="19"/>
      <c r="C122" s="1"/>
      <c r="D122" s="1"/>
      <c r="E122" s="1"/>
    </row>
    <row r="123" spans="1:5" x14ac:dyDescent="0.25">
      <c r="A123" s="13"/>
      <c r="B123" s="19"/>
      <c r="C123" s="1"/>
      <c r="D123" s="1"/>
      <c r="E123" s="1"/>
    </row>
    <row r="124" spans="1:5" x14ac:dyDescent="0.25">
      <c r="A124" s="13"/>
      <c r="B124" s="19"/>
      <c r="C124" s="1"/>
      <c r="D124" s="1"/>
      <c r="E124" s="1"/>
    </row>
    <row r="125" spans="1:5" x14ac:dyDescent="0.25">
      <c r="A125" s="13"/>
      <c r="B125" s="19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09"/>
  <sheetViews>
    <sheetView topLeftCell="A261" workbookViewId="0">
      <selection activeCell="G272" sqref="G272"/>
    </sheetView>
  </sheetViews>
  <sheetFormatPr defaultRowHeight="15" x14ac:dyDescent="0.25"/>
  <cols>
    <col min="4" max="6" width="10" bestFit="1" customWidth="1"/>
  </cols>
  <sheetData>
    <row r="1" spans="1:7" ht="19.5" x14ac:dyDescent="0.25">
      <c r="A1" s="103" t="s">
        <v>2928</v>
      </c>
      <c r="B1" s="103" t="s">
        <v>2929</v>
      </c>
      <c r="C1" s="103" t="s">
        <v>2930</v>
      </c>
      <c r="D1" s="103" t="s">
        <v>2931</v>
      </c>
      <c r="E1" s="103" t="s">
        <v>2932</v>
      </c>
      <c r="F1" s="103" t="s">
        <v>2933</v>
      </c>
      <c r="G1" s="103" t="s">
        <v>2934</v>
      </c>
    </row>
    <row r="2" spans="1:7" x14ac:dyDescent="0.25">
      <c r="A2" s="97" t="s">
        <v>2935</v>
      </c>
      <c r="B2" s="97" t="s">
        <v>2936</v>
      </c>
      <c r="C2" s="97" t="s">
        <v>2935</v>
      </c>
      <c r="D2" s="101"/>
      <c r="E2" s="96">
        <v>3000</v>
      </c>
      <c r="F2" s="101"/>
      <c r="G2" s="101" t="s">
        <v>2937</v>
      </c>
    </row>
    <row r="3" spans="1:7" x14ac:dyDescent="0.25">
      <c r="A3" s="100" t="s">
        <v>2935</v>
      </c>
      <c r="B3" s="100" t="s">
        <v>2938</v>
      </c>
      <c r="C3" s="100" t="s">
        <v>2935</v>
      </c>
      <c r="D3" s="104"/>
      <c r="E3" s="99">
        <v>2050</v>
      </c>
      <c r="F3" s="104"/>
      <c r="G3" s="104" t="s">
        <v>2939</v>
      </c>
    </row>
    <row r="4" spans="1:7" x14ac:dyDescent="0.25">
      <c r="A4" s="97" t="s">
        <v>2935</v>
      </c>
      <c r="B4" s="97" t="s">
        <v>2940</v>
      </c>
      <c r="C4" s="97" t="s">
        <v>2935</v>
      </c>
      <c r="D4" s="101"/>
      <c r="E4" s="96">
        <v>3935</v>
      </c>
      <c r="F4" s="101"/>
      <c r="G4" s="101" t="s">
        <v>2941</v>
      </c>
    </row>
    <row r="5" spans="1:7" x14ac:dyDescent="0.25">
      <c r="A5" s="100" t="s">
        <v>2935</v>
      </c>
      <c r="B5" s="100" t="s">
        <v>2942</v>
      </c>
      <c r="C5" s="100" t="s">
        <v>2935</v>
      </c>
      <c r="D5" s="99">
        <v>1200000</v>
      </c>
      <c r="E5" s="104"/>
      <c r="F5" s="104"/>
      <c r="G5" s="104">
        <v>6154041</v>
      </c>
    </row>
    <row r="6" spans="1:7" x14ac:dyDescent="0.25">
      <c r="A6" s="97" t="s">
        <v>2935</v>
      </c>
      <c r="B6" s="97" t="s">
        <v>2943</v>
      </c>
      <c r="C6" s="97" t="s">
        <v>2935</v>
      </c>
      <c r="D6" s="101"/>
      <c r="E6" s="96">
        <v>800000</v>
      </c>
      <c r="F6" s="101"/>
      <c r="G6" s="101">
        <v>144144918</v>
      </c>
    </row>
    <row r="7" spans="1:7" x14ac:dyDescent="0.25">
      <c r="A7" s="100" t="s">
        <v>2935</v>
      </c>
      <c r="B7" s="100" t="s">
        <v>2944</v>
      </c>
      <c r="C7" s="100" t="s">
        <v>2935</v>
      </c>
      <c r="D7" s="104"/>
      <c r="E7" s="99">
        <v>300000</v>
      </c>
      <c r="F7" s="104"/>
      <c r="G7" s="104">
        <v>144115418</v>
      </c>
    </row>
    <row r="8" spans="1:7" x14ac:dyDescent="0.25">
      <c r="A8" s="97" t="s">
        <v>2935</v>
      </c>
      <c r="B8" s="97" t="s">
        <v>2945</v>
      </c>
      <c r="C8" s="97"/>
      <c r="D8" s="101"/>
      <c r="E8" s="101"/>
      <c r="F8" s="96">
        <v>75924.179999999993</v>
      </c>
      <c r="G8" s="101"/>
    </row>
    <row r="9" spans="1:7" x14ac:dyDescent="0.25">
      <c r="A9" s="100" t="s">
        <v>2946</v>
      </c>
      <c r="B9" s="100" t="s">
        <v>2947</v>
      </c>
      <c r="C9" s="100" t="s">
        <v>2946</v>
      </c>
      <c r="D9" s="104"/>
      <c r="E9" s="99">
        <v>20000</v>
      </c>
      <c r="F9" s="104"/>
      <c r="G9" s="104" t="s">
        <v>2948</v>
      </c>
    </row>
    <row r="10" spans="1:7" x14ac:dyDescent="0.25">
      <c r="A10" s="97" t="s">
        <v>2946</v>
      </c>
      <c r="B10" s="97" t="s">
        <v>2949</v>
      </c>
      <c r="C10" s="97" t="s">
        <v>2946</v>
      </c>
      <c r="D10" s="101"/>
      <c r="E10" s="96">
        <v>1450</v>
      </c>
      <c r="F10" s="101"/>
      <c r="G10" s="101" t="s">
        <v>2950</v>
      </c>
    </row>
    <row r="11" spans="1:7" x14ac:dyDescent="0.25">
      <c r="A11" s="100" t="s">
        <v>2946</v>
      </c>
      <c r="B11" s="100" t="s">
        <v>2951</v>
      </c>
      <c r="C11" s="100" t="s">
        <v>2946</v>
      </c>
      <c r="D11" s="104"/>
      <c r="E11" s="99">
        <v>36290</v>
      </c>
      <c r="F11" s="104"/>
      <c r="G11" s="104" t="s">
        <v>2952</v>
      </c>
    </row>
    <row r="12" spans="1:7" x14ac:dyDescent="0.25">
      <c r="A12" s="97" t="s">
        <v>2946</v>
      </c>
      <c r="B12" s="97" t="s">
        <v>2945</v>
      </c>
      <c r="C12" s="97"/>
      <c r="D12" s="101"/>
      <c r="E12" s="101"/>
      <c r="F12" s="96">
        <v>133664.18</v>
      </c>
      <c r="G12" s="101"/>
    </row>
    <row r="13" spans="1:7" x14ac:dyDescent="0.25">
      <c r="A13" s="100" t="s">
        <v>2953</v>
      </c>
      <c r="B13" s="100" t="s">
        <v>2954</v>
      </c>
      <c r="C13" s="100" t="s">
        <v>2953</v>
      </c>
      <c r="D13" s="104"/>
      <c r="E13" s="99">
        <v>37625</v>
      </c>
      <c r="F13" s="104"/>
      <c r="G13" s="104" t="s">
        <v>2955</v>
      </c>
    </row>
    <row r="14" spans="1:7" x14ac:dyDescent="0.25">
      <c r="A14" s="97" t="s">
        <v>2953</v>
      </c>
      <c r="B14" s="97" t="s">
        <v>2956</v>
      </c>
      <c r="C14" s="97" t="s">
        <v>2953</v>
      </c>
      <c r="D14" s="101"/>
      <c r="E14" s="96">
        <v>5120</v>
      </c>
      <c r="F14" s="101"/>
      <c r="G14" s="101" t="s">
        <v>2957</v>
      </c>
    </row>
    <row r="15" spans="1:7" x14ac:dyDescent="0.25">
      <c r="A15" s="100" t="s">
        <v>2953</v>
      </c>
      <c r="B15" s="100" t="s">
        <v>2945</v>
      </c>
      <c r="C15" s="100"/>
      <c r="D15" s="104"/>
      <c r="E15" s="104"/>
      <c r="F15" s="99">
        <v>176409.18</v>
      </c>
      <c r="G15" s="104"/>
    </row>
    <row r="16" spans="1:7" x14ac:dyDescent="0.25">
      <c r="A16" s="97" t="s">
        <v>2958</v>
      </c>
      <c r="B16" s="97" t="s">
        <v>2959</v>
      </c>
      <c r="C16" s="97" t="s">
        <v>2958</v>
      </c>
      <c r="D16" s="101"/>
      <c r="E16" s="96">
        <v>8125</v>
      </c>
      <c r="F16" s="101"/>
      <c r="G16" s="101" t="s">
        <v>2960</v>
      </c>
    </row>
    <row r="17" spans="1:7" x14ac:dyDescent="0.25">
      <c r="A17" s="100" t="s">
        <v>2958</v>
      </c>
      <c r="B17" s="100" t="s">
        <v>2961</v>
      </c>
      <c r="C17" s="100" t="s">
        <v>2958</v>
      </c>
      <c r="D17" s="104"/>
      <c r="E17" s="99">
        <v>2070</v>
      </c>
      <c r="F17" s="104"/>
      <c r="G17" s="104" t="s">
        <v>2962</v>
      </c>
    </row>
    <row r="18" spans="1:7" x14ac:dyDescent="0.25">
      <c r="A18" s="97" t="s">
        <v>2958</v>
      </c>
      <c r="B18" s="97" t="s">
        <v>2963</v>
      </c>
      <c r="C18" s="97" t="s">
        <v>2958</v>
      </c>
      <c r="D18" s="101"/>
      <c r="E18" s="96">
        <v>6300</v>
      </c>
      <c r="F18" s="101"/>
      <c r="G18" s="101" t="s">
        <v>2964</v>
      </c>
    </row>
    <row r="19" spans="1:7" x14ac:dyDescent="0.25">
      <c r="A19" s="100" t="s">
        <v>2958</v>
      </c>
      <c r="B19" s="100" t="s">
        <v>2965</v>
      </c>
      <c r="C19" s="100" t="s">
        <v>2958</v>
      </c>
      <c r="D19" s="104"/>
      <c r="E19" s="99">
        <v>65155</v>
      </c>
      <c r="F19" s="104"/>
      <c r="G19" s="104">
        <v>147151056</v>
      </c>
    </row>
    <row r="20" spans="1:7" x14ac:dyDescent="0.25">
      <c r="A20" s="97" t="s">
        <v>2958</v>
      </c>
      <c r="B20" s="97" t="s">
        <v>2966</v>
      </c>
      <c r="C20" s="97" t="s">
        <v>2958</v>
      </c>
      <c r="D20" s="101"/>
      <c r="E20" s="96">
        <v>40200</v>
      </c>
      <c r="F20" s="101"/>
      <c r="G20" s="101">
        <v>147151056</v>
      </c>
    </row>
    <row r="21" spans="1:7" x14ac:dyDescent="0.25">
      <c r="A21" s="100" t="s">
        <v>2958</v>
      </c>
      <c r="B21" s="100" t="s">
        <v>2967</v>
      </c>
      <c r="C21" s="100" t="s">
        <v>2958</v>
      </c>
      <c r="D21" s="104"/>
      <c r="E21" s="99">
        <v>46019.02</v>
      </c>
      <c r="F21" s="104"/>
      <c r="G21" s="104">
        <v>147151056</v>
      </c>
    </row>
    <row r="22" spans="1:7" x14ac:dyDescent="0.25">
      <c r="A22" s="97" t="s">
        <v>2958</v>
      </c>
      <c r="B22" s="97" t="s">
        <v>2945</v>
      </c>
      <c r="C22" s="97"/>
      <c r="D22" s="101"/>
      <c r="E22" s="101"/>
      <c r="F22" s="96">
        <v>344278.2</v>
      </c>
      <c r="G22" s="101"/>
    </row>
    <row r="23" spans="1:7" x14ac:dyDescent="0.25">
      <c r="A23" s="100" t="s">
        <v>2968</v>
      </c>
      <c r="B23" s="100" t="s">
        <v>2969</v>
      </c>
      <c r="C23" s="100" t="s">
        <v>2968</v>
      </c>
      <c r="D23" s="104"/>
      <c r="E23" s="99">
        <v>6235</v>
      </c>
      <c r="F23" s="104"/>
      <c r="G23" s="104" t="s">
        <v>2970</v>
      </c>
    </row>
    <row r="24" spans="1:7" x14ac:dyDescent="0.25">
      <c r="A24" s="97" t="s">
        <v>2968</v>
      </c>
      <c r="B24" s="97" t="s">
        <v>2945</v>
      </c>
      <c r="C24" s="97"/>
      <c r="D24" s="101"/>
      <c r="E24" s="101"/>
      <c r="F24" s="96">
        <v>350513.2</v>
      </c>
      <c r="G24" s="101"/>
    </row>
    <row r="25" spans="1:7" x14ac:dyDescent="0.25">
      <c r="A25" s="100" t="s">
        <v>2971</v>
      </c>
      <c r="B25" s="100" t="s">
        <v>2972</v>
      </c>
      <c r="C25" s="100" t="s">
        <v>2971</v>
      </c>
      <c r="D25" s="104"/>
      <c r="E25" s="104">
        <v>500</v>
      </c>
      <c r="F25" s="104"/>
      <c r="G25" s="104" t="s">
        <v>2973</v>
      </c>
    </row>
    <row r="26" spans="1:7" x14ac:dyDescent="0.25">
      <c r="A26" s="97" t="s">
        <v>2971</v>
      </c>
      <c r="B26" s="97" t="s">
        <v>2974</v>
      </c>
      <c r="C26" s="97" t="s">
        <v>2971</v>
      </c>
      <c r="D26" s="101"/>
      <c r="E26" s="96">
        <v>1575</v>
      </c>
      <c r="F26" s="101"/>
      <c r="G26" s="101" t="s">
        <v>2975</v>
      </c>
    </row>
    <row r="27" spans="1:7" x14ac:dyDescent="0.25">
      <c r="A27" s="100" t="s">
        <v>2971</v>
      </c>
      <c r="B27" s="100" t="s">
        <v>2976</v>
      </c>
      <c r="C27" s="100" t="s">
        <v>2971</v>
      </c>
      <c r="D27" s="104"/>
      <c r="E27" s="99">
        <v>3560</v>
      </c>
      <c r="F27" s="104"/>
      <c r="G27" s="104" t="s">
        <v>2977</v>
      </c>
    </row>
    <row r="28" spans="1:7" x14ac:dyDescent="0.25">
      <c r="A28" s="97" t="s">
        <v>2971</v>
      </c>
      <c r="B28" s="97" t="s">
        <v>2978</v>
      </c>
      <c r="C28" s="97" t="s">
        <v>2971</v>
      </c>
      <c r="D28" s="96">
        <v>25000</v>
      </c>
      <c r="E28" s="101"/>
      <c r="F28" s="101"/>
      <c r="G28" s="101">
        <v>6150707</v>
      </c>
    </row>
    <row r="29" spans="1:7" x14ac:dyDescent="0.25">
      <c r="A29" s="100" t="s">
        <v>2971</v>
      </c>
      <c r="B29" s="100" t="s">
        <v>2945</v>
      </c>
      <c r="C29" s="100"/>
      <c r="D29" s="104"/>
      <c r="E29" s="104"/>
      <c r="F29" s="99">
        <v>331148.2</v>
      </c>
      <c r="G29" s="104"/>
    </row>
    <row r="30" spans="1:7" x14ac:dyDescent="0.25">
      <c r="A30" s="97" t="s">
        <v>2979</v>
      </c>
      <c r="B30" s="97" t="s">
        <v>2980</v>
      </c>
      <c r="C30" s="97" t="s">
        <v>2979</v>
      </c>
      <c r="D30" s="101"/>
      <c r="E30" s="96">
        <v>15275</v>
      </c>
      <c r="F30" s="101"/>
      <c r="G30" s="101" t="s">
        <v>2981</v>
      </c>
    </row>
    <row r="31" spans="1:7" x14ac:dyDescent="0.25">
      <c r="A31" s="100" t="s">
        <v>2979</v>
      </c>
      <c r="B31" s="100" t="s">
        <v>2982</v>
      </c>
      <c r="C31" s="100" t="s">
        <v>2979</v>
      </c>
      <c r="D31" s="104"/>
      <c r="E31" s="99">
        <v>25000</v>
      </c>
      <c r="F31" s="104"/>
      <c r="G31" s="104" t="s">
        <v>2983</v>
      </c>
    </row>
    <row r="32" spans="1:7" x14ac:dyDescent="0.25">
      <c r="A32" s="97" t="s">
        <v>2979</v>
      </c>
      <c r="B32" s="97" t="s">
        <v>2984</v>
      </c>
      <c r="C32" s="97" t="s">
        <v>2979</v>
      </c>
      <c r="D32" s="96">
        <v>1100000</v>
      </c>
      <c r="E32" s="101"/>
      <c r="F32" s="101"/>
      <c r="G32" s="101">
        <v>5150800</v>
      </c>
    </row>
    <row r="33" spans="1:7" x14ac:dyDescent="0.25">
      <c r="A33" s="100" t="s">
        <v>2979</v>
      </c>
      <c r="B33" s="100" t="s">
        <v>2944</v>
      </c>
      <c r="C33" s="100" t="s">
        <v>2979</v>
      </c>
      <c r="D33" s="104"/>
      <c r="E33" s="99">
        <v>625000</v>
      </c>
      <c r="F33" s="104"/>
      <c r="G33" s="104">
        <v>4122832</v>
      </c>
    </row>
    <row r="34" spans="1:7" x14ac:dyDescent="0.25">
      <c r="A34" s="97" t="s">
        <v>2979</v>
      </c>
      <c r="B34" s="97" t="s">
        <v>2944</v>
      </c>
      <c r="C34" s="97" t="s">
        <v>2979</v>
      </c>
      <c r="D34" s="101"/>
      <c r="E34" s="96">
        <v>106000</v>
      </c>
      <c r="F34" s="101"/>
      <c r="G34" s="101">
        <v>134131631</v>
      </c>
    </row>
    <row r="35" spans="1:7" x14ac:dyDescent="0.25">
      <c r="A35" s="100" t="s">
        <v>2979</v>
      </c>
      <c r="B35" s="100" t="s">
        <v>2945</v>
      </c>
      <c r="C35" s="100"/>
      <c r="D35" s="104"/>
      <c r="E35" s="104"/>
      <c r="F35" s="99">
        <v>2423.1999999999998</v>
      </c>
      <c r="G35" s="104"/>
    </row>
    <row r="36" spans="1:7" x14ac:dyDescent="0.25">
      <c r="A36" s="97" t="s">
        <v>2985</v>
      </c>
      <c r="B36" s="97" t="s">
        <v>2986</v>
      </c>
      <c r="C36" s="97" t="s">
        <v>2985</v>
      </c>
      <c r="D36" s="101"/>
      <c r="E36" s="96">
        <v>20600</v>
      </c>
      <c r="F36" s="101"/>
      <c r="G36" s="101" t="s">
        <v>2987</v>
      </c>
    </row>
    <row r="37" spans="1:7" x14ac:dyDescent="0.25">
      <c r="A37" s="100" t="s">
        <v>2985</v>
      </c>
      <c r="B37" s="100" t="s">
        <v>2988</v>
      </c>
      <c r="C37" s="100" t="s">
        <v>2985</v>
      </c>
      <c r="D37" s="104"/>
      <c r="E37" s="99">
        <v>4930</v>
      </c>
      <c r="F37" s="104"/>
      <c r="G37" s="104" t="s">
        <v>2989</v>
      </c>
    </row>
    <row r="38" spans="1:7" x14ac:dyDescent="0.25">
      <c r="A38" s="97" t="s">
        <v>2985</v>
      </c>
      <c r="B38" s="97" t="s">
        <v>2990</v>
      </c>
      <c r="C38" s="97" t="s">
        <v>2985</v>
      </c>
      <c r="D38" s="101"/>
      <c r="E38" s="96">
        <v>7865</v>
      </c>
      <c r="F38" s="101"/>
      <c r="G38" s="101" t="s">
        <v>2991</v>
      </c>
    </row>
    <row r="39" spans="1:7" x14ac:dyDescent="0.25">
      <c r="A39" s="100" t="s">
        <v>2985</v>
      </c>
      <c r="B39" s="100" t="s">
        <v>2945</v>
      </c>
      <c r="C39" s="100"/>
      <c r="D39" s="104"/>
      <c r="E39" s="104"/>
      <c r="F39" s="99">
        <v>35818.199999999997</v>
      </c>
      <c r="G39" s="104"/>
    </row>
    <row r="40" spans="1:7" x14ac:dyDescent="0.25">
      <c r="A40" s="97" t="s">
        <v>2992</v>
      </c>
      <c r="B40" s="97" t="s">
        <v>2993</v>
      </c>
      <c r="C40" s="97" t="s">
        <v>2992</v>
      </c>
      <c r="D40" s="101"/>
      <c r="E40" s="96">
        <v>28660</v>
      </c>
      <c r="F40" s="101"/>
      <c r="G40" s="101" t="s">
        <v>2994</v>
      </c>
    </row>
    <row r="41" spans="1:7" x14ac:dyDescent="0.25">
      <c r="A41" s="100" t="s">
        <v>2992</v>
      </c>
      <c r="B41" s="100" t="s">
        <v>2995</v>
      </c>
      <c r="C41" s="100" t="s">
        <v>2992</v>
      </c>
      <c r="D41" s="104"/>
      <c r="E41" s="99">
        <v>29375</v>
      </c>
      <c r="F41" s="104"/>
      <c r="G41" s="104" t="s">
        <v>2996</v>
      </c>
    </row>
    <row r="42" spans="1:7" x14ac:dyDescent="0.25">
      <c r="A42" s="97" t="s">
        <v>2992</v>
      </c>
      <c r="B42" s="97" t="s">
        <v>2997</v>
      </c>
      <c r="C42" s="97" t="s">
        <v>2992</v>
      </c>
      <c r="D42" s="101">
        <v>16.95</v>
      </c>
      <c r="E42" s="101"/>
      <c r="F42" s="101"/>
      <c r="G42" s="101">
        <v>144174947</v>
      </c>
    </row>
    <row r="43" spans="1:7" x14ac:dyDescent="0.25">
      <c r="A43" s="100" t="s">
        <v>2992</v>
      </c>
      <c r="B43" s="100" t="s">
        <v>2998</v>
      </c>
      <c r="C43" s="100" t="s">
        <v>2992</v>
      </c>
      <c r="D43" s="104"/>
      <c r="E43" s="99">
        <v>1500000</v>
      </c>
      <c r="F43" s="104"/>
      <c r="G43" s="104">
        <v>144174943</v>
      </c>
    </row>
    <row r="44" spans="1:7" x14ac:dyDescent="0.25">
      <c r="A44" s="97" t="s">
        <v>2992</v>
      </c>
      <c r="B44" s="97" t="s">
        <v>2945</v>
      </c>
      <c r="C44" s="97"/>
      <c r="D44" s="101"/>
      <c r="E44" s="101"/>
      <c r="F44" s="96">
        <v>1593836.25</v>
      </c>
      <c r="G44" s="101"/>
    </row>
    <row r="45" spans="1:7" x14ac:dyDescent="0.25">
      <c r="A45" s="100" t="s">
        <v>2999</v>
      </c>
      <c r="B45" s="100" t="s">
        <v>3000</v>
      </c>
      <c r="C45" s="100" t="s">
        <v>2999</v>
      </c>
      <c r="D45" s="104"/>
      <c r="E45" s="99">
        <v>14780</v>
      </c>
      <c r="F45" s="104"/>
      <c r="G45" s="104" t="s">
        <v>3001</v>
      </c>
    </row>
    <row r="46" spans="1:7" x14ac:dyDescent="0.25">
      <c r="A46" s="97" t="s">
        <v>2999</v>
      </c>
      <c r="B46" s="97" t="s">
        <v>3002</v>
      </c>
      <c r="C46" s="97" t="s">
        <v>2999</v>
      </c>
      <c r="D46" s="101"/>
      <c r="E46" s="96">
        <v>25760</v>
      </c>
      <c r="F46" s="101"/>
      <c r="G46" s="101" t="s">
        <v>3003</v>
      </c>
    </row>
    <row r="47" spans="1:7" x14ac:dyDescent="0.25">
      <c r="A47" s="100" t="s">
        <v>2999</v>
      </c>
      <c r="B47" s="100" t="s">
        <v>2945</v>
      </c>
      <c r="C47" s="100"/>
      <c r="D47" s="104"/>
      <c r="E47" s="104"/>
      <c r="F47" s="99">
        <v>1634376.25</v>
      </c>
      <c r="G47" s="104"/>
    </row>
    <row r="48" spans="1:7" x14ac:dyDescent="0.25">
      <c r="A48" s="97" t="s">
        <v>3004</v>
      </c>
      <c r="B48" s="97" t="s">
        <v>3005</v>
      </c>
      <c r="C48" s="97" t="s">
        <v>3004</v>
      </c>
      <c r="D48" s="101"/>
      <c r="E48" s="96">
        <v>7500</v>
      </c>
      <c r="F48" s="101"/>
      <c r="G48" s="101" t="s">
        <v>3006</v>
      </c>
    </row>
    <row r="49" spans="1:7" x14ac:dyDescent="0.25">
      <c r="A49" s="100" t="s">
        <v>3004</v>
      </c>
      <c r="B49" s="100" t="s">
        <v>3007</v>
      </c>
      <c r="C49" s="100" t="s">
        <v>3004</v>
      </c>
      <c r="D49" s="99">
        <v>200000</v>
      </c>
      <c r="E49" s="104"/>
      <c r="F49" s="104"/>
      <c r="G49" s="104" t="s">
        <v>3008</v>
      </c>
    </row>
    <row r="50" spans="1:7" x14ac:dyDescent="0.25">
      <c r="A50" s="97" t="s">
        <v>3004</v>
      </c>
      <c r="B50" s="97" t="s">
        <v>2945</v>
      </c>
      <c r="C50" s="97"/>
      <c r="D50" s="101"/>
      <c r="E50" s="101"/>
      <c r="F50" s="96">
        <v>1441876.25</v>
      </c>
      <c r="G50" s="101"/>
    </row>
    <row r="51" spans="1:7" x14ac:dyDescent="0.25">
      <c r="A51" s="100" t="s">
        <v>3009</v>
      </c>
      <c r="B51" s="100" t="s">
        <v>3010</v>
      </c>
      <c r="C51" s="100" t="s">
        <v>3009</v>
      </c>
      <c r="D51" s="104"/>
      <c r="E51" s="99">
        <v>21000</v>
      </c>
      <c r="F51" s="104"/>
      <c r="G51" s="104" t="s">
        <v>3011</v>
      </c>
    </row>
    <row r="52" spans="1:7" x14ac:dyDescent="0.25">
      <c r="A52" s="97" t="s">
        <v>3009</v>
      </c>
      <c r="B52" s="97" t="s">
        <v>2945</v>
      </c>
      <c r="C52" s="97"/>
      <c r="D52" s="101"/>
      <c r="E52" s="101"/>
      <c r="F52" s="96">
        <v>1462876.25</v>
      </c>
      <c r="G52" s="101"/>
    </row>
    <row r="53" spans="1:7" x14ac:dyDescent="0.25">
      <c r="A53" s="100" t="s">
        <v>3012</v>
      </c>
      <c r="B53" s="100" t="s">
        <v>3013</v>
      </c>
      <c r="C53" s="100" t="s">
        <v>3012</v>
      </c>
      <c r="D53" s="99">
        <v>500000</v>
      </c>
      <c r="E53" s="104"/>
      <c r="F53" s="104"/>
      <c r="G53" s="104" t="s">
        <v>3014</v>
      </c>
    </row>
    <row r="54" spans="1:7" x14ac:dyDescent="0.25">
      <c r="A54" s="97" t="s">
        <v>3012</v>
      </c>
      <c r="B54" s="97" t="s">
        <v>3015</v>
      </c>
      <c r="C54" s="97" t="s">
        <v>3012</v>
      </c>
      <c r="D54" s="101"/>
      <c r="E54" s="96">
        <v>2095</v>
      </c>
      <c r="F54" s="101"/>
      <c r="G54" s="101" t="s">
        <v>3016</v>
      </c>
    </row>
    <row r="55" spans="1:7" x14ac:dyDescent="0.25">
      <c r="A55" s="100" t="s">
        <v>3012</v>
      </c>
      <c r="B55" s="100" t="s">
        <v>3017</v>
      </c>
      <c r="C55" s="100" t="s">
        <v>3012</v>
      </c>
      <c r="D55" s="104"/>
      <c r="E55" s="99">
        <v>2425</v>
      </c>
      <c r="F55" s="104"/>
      <c r="G55" s="104" t="s">
        <v>3018</v>
      </c>
    </row>
    <row r="56" spans="1:7" x14ac:dyDescent="0.25">
      <c r="A56" s="97" t="s">
        <v>3012</v>
      </c>
      <c r="B56" s="97" t="s">
        <v>3019</v>
      </c>
      <c r="C56" s="97" t="s">
        <v>3012</v>
      </c>
      <c r="D56" s="96">
        <v>25000</v>
      </c>
      <c r="E56" s="101"/>
      <c r="F56" s="101"/>
      <c r="G56" s="101">
        <v>6152658</v>
      </c>
    </row>
    <row r="57" spans="1:7" x14ac:dyDescent="0.25">
      <c r="A57" s="100" t="s">
        <v>3012</v>
      </c>
      <c r="B57" s="100" t="s">
        <v>2945</v>
      </c>
      <c r="C57" s="100"/>
      <c r="D57" s="104"/>
      <c r="E57" s="104"/>
      <c r="F57" s="99">
        <v>942396.25</v>
      </c>
      <c r="G57" s="104"/>
    </row>
    <row r="58" spans="1:7" x14ac:dyDescent="0.25">
      <c r="A58" s="97" t="s">
        <v>3020</v>
      </c>
      <c r="B58" s="97" t="s">
        <v>3021</v>
      </c>
      <c r="C58" s="97" t="s">
        <v>3020</v>
      </c>
      <c r="D58" s="101"/>
      <c r="E58" s="96">
        <v>4250</v>
      </c>
      <c r="F58" s="101"/>
      <c r="G58" s="101" t="s">
        <v>3022</v>
      </c>
    </row>
    <row r="59" spans="1:7" x14ac:dyDescent="0.25">
      <c r="A59" s="100" t="s">
        <v>3020</v>
      </c>
      <c r="B59" s="100" t="s">
        <v>3023</v>
      </c>
      <c r="C59" s="100" t="s">
        <v>3020</v>
      </c>
      <c r="D59" s="104"/>
      <c r="E59" s="99">
        <v>19800</v>
      </c>
      <c r="F59" s="104"/>
      <c r="G59" s="104" t="s">
        <v>3024</v>
      </c>
    </row>
    <row r="60" spans="1:7" x14ac:dyDescent="0.25">
      <c r="A60" s="97" t="s">
        <v>3020</v>
      </c>
      <c r="B60" s="97" t="s">
        <v>2945</v>
      </c>
      <c r="C60" s="97"/>
      <c r="D60" s="101"/>
      <c r="E60" s="101"/>
      <c r="F60" s="96">
        <v>966446.25</v>
      </c>
      <c r="G60" s="101"/>
    </row>
    <row r="61" spans="1:7" x14ac:dyDescent="0.25">
      <c r="A61" s="100" t="s">
        <v>3025</v>
      </c>
      <c r="B61" s="100" t="s">
        <v>3026</v>
      </c>
      <c r="C61" s="100" t="s">
        <v>3025</v>
      </c>
      <c r="D61" s="104"/>
      <c r="E61" s="99">
        <v>13000</v>
      </c>
      <c r="F61" s="104"/>
      <c r="G61" s="104" t="s">
        <v>3027</v>
      </c>
    </row>
    <row r="62" spans="1:7" x14ac:dyDescent="0.25">
      <c r="A62" s="97" t="s">
        <v>3025</v>
      </c>
      <c r="B62" s="97" t="s">
        <v>3028</v>
      </c>
      <c r="C62" s="97" t="s">
        <v>3025</v>
      </c>
      <c r="D62" s="101"/>
      <c r="E62" s="96">
        <v>4740</v>
      </c>
      <c r="F62" s="101"/>
      <c r="G62" s="101" t="s">
        <v>3029</v>
      </c>
    </row>
    <row r="63" spans="1:7" x14ac:dyDescent="0.25">
      <c r="A63" s="100" t="s">
        <v>3025</v>
      </c>
      <c r="B63" s="100" t="s">
        <v>3030</v>
      </c>
      <c r="C63" s="100" t="s">
        <v>3025</v>
      </c>
      <c r="D63" s="104"/>
      <c r="E63" s="99">
        <v>2200</v>
      </c>
      <c r="F63" s="104"/>
      <c r="G63" s="104" t="s">
        <v>3031</v>
      </c>
    </row>
    <row r="64" spans="1:7" x14ac:dyDescent="0.25">
      <c r="A64" s="97" t="s">
        <v>3025</v>
      </c>
      <c r="B64" s="97" t="s">
        <v>3032</v>
      </c>
      <c r="C64" s="97" t="s">
        <v>3025</v>
      </c>
      <c r="D64" s="101"/>
      <c r="E64" s="101">
        <v>400</v>
      </c>
      <c r="F64" s="101"/>
      <c r="G64" s="101" t="s">
        <v>3033</v>
      </c>
    </row>
    <row r="65" spans="1:7" x14ac:dyDescent="0.25">
      <c r="A65" s="100" t="s">
        <v>3025</v>
      </c>
      <c r="B65" s="100" t="s">
        <v>3034</v>
      </c>
      <c r="C65" s="100" t="s">
        <v>3025</v>
      </c>
      <c r="D65" s="104">
        <v>940</v>
      </c>
      <c r="E65" s="104"/>
      <c r="F65" s="104"/>
      <c r="G65" s="104">
        <v>6153053</v>
      </c>
    </row>
    <row r="66" spans="1:7" x14ac:dyDescent="0.25">
      <c r="A66" s="97" t="s">
        <v>3025</v>
      </c>
      <c r="B66" s="97" t="s">
        <v>2997</v>
      </c>
      <c r="C66" s="97" t="s">
        <v>3025</v>
      </c>
      <c r="D66" s="101">
        <v>16.95</v>
      </c>
      <c r="E66" s="101"/>
      <c r="F66" s="101"/>
      <c r="G66" s="101">
        <v>141175258</v>
      </c>
    </row>
    <row r="67" spans="1:7" x14ac:dyDescent="0.25">
      <c r="A67" s="100" t="s">
        <v>3025</v>
      </c>
      <c r="B67" s="100" t="s">
        <v>3035</v>
      </c>
      <c r="C67" s="100" t="s">
        <v>3025</v>
      </c>
      <c r="D67" s="104"/>
      <c r="E67" s="99">
        <v>219010</v>
      </c>
      <c r="F67" s="104"/>
      <c r="G67" s="104">
        <v>141175250</v>
      </c>
    </row>
    <row r="68" spans="1:7" x14ac:dyDescent="0.25">
      <c r="A68" s="97" t="s">
        <v>3025</v>
      </c>
      <c r="B68" s="97" t="s">
        <v>2945</v>
      </c>
      <c r="C68" s="97"/>
      <c r="D68" s="101"/>
      <c r="E68" s="101"/>
      <c r="F68" s="96">
        <v>1204839.3</v>
      </c>
      <c r="G68" s="101"/>
    </row>
    <row r="69" spans="1:7" x14ac:dyDescent="0.25">
      <c r="A69" s="100" t="s">
        <v>3036</v>
      </c>
      <c r="B69" s="100" t="s">
        <v>3037</v>
      </c>
      <c r="C69" s="100" t="s">
        <v>3036</v>
      </c>
      <c r="D69" s="104"/>
      <c r="E69" s="99">
        <v>11700</v>
      </c>
      <c r="F69" s="104"/>
      <c r="G69" s="104" t="s">
        <v>3038</v>
      </c>
    </row>
    <row r="70" spans="1:7" x14ac:dyDescent="0.25">
      <c r="A70" s="97" t="s">
        <v>3036</v>
      </c>
      <c r="B70" s="97" t="s">
        <v>3039</v>
      </c>
      <c r="C70" s="97" t="s">
        <v>3036</v>
      </c>
      <c r="D70" s="96">
        <v>500000</v>
      </c>
      <c r="E70" s="101"/>
      <c r="F70" s="101"/>
      <c r="G70" s="101">
        <v>6113102</v>
      </c>
    </row>
    <row r="71" spans="1:7" x14ac:dyDescent="0.25">
      <c r="A71" s="100" t="s">
        <v>3036</v>
      </c>
      <c r="B71" s="100" t="s">
        <v>2945</v>
      </c>
      <c r="C71" s="100"/>
      <c r="D71" s="104"/>
      <c r="E71" s="104"/>
      <c r="F71" s="99">
        <v>716539.3</v>
      </c>
      <c r="G71" s="104"/>
    </row>
    <row r="72" spans="1:7" x14ac:dyDescent="0.25">
      <c r="A72" s="97" t="s">
        <v>3040</v>
      </c>
      <c r="B72" s="97" t="s">
        <v>3041</v>
      </c>
      <c r="C72" s="97" t="s">
        <v>3040</v>
      </c>
      <c r="D72" s="101"/>
      <c r="E72" s="96">
        <v>6880</v>
      </c>
      <c r="F72" s="101"/>
      <c r="G72" s="101" t="s">
        <v>3042</v>
      </c>
    </row>
    <row r="73" spans="1:7" x14ac:dyDescent="0.25">
      <c r="A73" s="100" t="s">
        <v>3040</v>
      </c>
      <c r="B73" s="100" t="s">
        <v>3043</v>
      </c>
      <c r="C73" s="100" t="s">
        <v>3040</v>
      </c>
      <c r="D73" s="104"/>
      <c r="E73" s="99">
        <v>19750</v>
      </c>
      <c r="F73" s="104"/>
      <c r="G73" s="104" t="s">
        <v>3044</v>
      </c>
    </row>
    <row r="74" spans="1:7" x14ac:dyDescent="0.25">
      <c r="A74" s="97" t="s">
        <v>3040</v>
      </c>
      <c r="B74" s="97" t="s">
        <v>3045</v>
      </c>
      <c r="C74" s="97" t="s">
        <v>3040</v>
      </c>
      <c r="D74" s="101"/>
      <c r="E74" s="96">
        <v>108930</v>
      </c>
      <c r="F74" s="101"/>
      <c r="G74" s="101">
        <v>141172259</v>
      </c>
    </row>
    <row r="75" spans="1:7" x14ac:dyDescent="0.25">
      <c r="A75" s="100" t="s">
        <v>3040</v>
      </c>
      <c r="B75" s="100" t="s">
        <v>3046</v>
      </c>
      <c r="C75" s="100" t="s">
        <v>3040</v>
      </c>
      <c r="D75" s="99">
        <v>108930</v>
      </c>
      <c r="E75" s="104"/>
      <c r="F75" s="104"/>
      <c r="G75" s="104">
        <v>141172316</v>
      </c>
    </row>
    <row r="76" spans="1:7" x14ac:dyDescent="0.25">
      <c r="A76" s="97" t="s">
        <v>3040</v>
      </c>
      <c r="B76" s="97" t="s">
        <v>2945</v>
      </c>
      <c r="C76" s="97"/>
      <c r="D76" s="101"/>
      <c r="E76" s="101"/>
      <c r="F76" s="96">
        <v>743169.3</v>
      </c>
      <c r="G76" s="101"/>
    </row>
    <row r="77" spans="1:7" x14ac:dyDescent="0.25">
      <c r="A77" s="100" t="s">
        <v>3047</v>
      </c>
      <c r="B77" s="100" t="s">
        <v>3048</v>
      </c>
      <c r="C77" s="100" t="s">
        <v>3047</v>
      </c>
      <c r="D77" s="104"/>
      <c r="E77" s="104">
        <v>700</v>
      </c>
      <c r="F77" s="104"/>
      <c r="G77" s="104" t="s">
        <v>3049</v>
      </c>
    </row>
    <row r="78" spans="1:7" x14ac:dyDescent="0.25">
      <c r="A78" s="97" t="s">
        <v>3047</v>
      </c>
      <c r="B78" s="97" t="s">
        <v>3050</v>
      </c>
      <c r="C78" s="97" t="s">
        <v>3047</v>
      </c>
      <c r="D78" s="101"/>
      <c r="E78" s="96">
        <v>2200</v>
      </c>
      <c r="F78" s="101"/>
      <c r="G78" s="101" t="s">
        <v>3051</v>
      </c>
    </row>
    <row r="79" spans="1:7" x14ac:dyDescent="0.25">
      <c r="A79" s="100" t="s">
        <v>3047</v>
      </c>
      <c r="B79" s="100" t="s">
        <v>3052</v>
      </c>
      <c r="C79" s="100" t="s">
        <v>3047</v>
      </c>
      <c r="D79" s="99">
        <v>1000000</v>
      </c>
      <c r="E79" s="104"/>
      <c r="F79" s="104"/>
      <c r="G79" s="104" t="s">
        <v>3053</v>
      </c>
    </row>
    <row r="80" spans="1:7" x14ac:dyDescent="0.25">
      <c r="A80" s="97" t="s">
        <v>3047</v>
      </c>
      <c r="B80" s="97" t="s">
        <v>3054</v>
      </c>
      <c r="C80" s="97" t="s">
        <v>3047</v>
      </c>
      <c r="D80" s="101"/>
      <c r="E80" s="96">
        <v>300000</v>
      </c>
      <c r="F80" s="101"/>
      <c r="G80" s="101">
        <v>144124751</v>
      </c>
    </row>
    <row r="81" spans="1:7" x14ac:dyDescent="0.25">
      <c r="A81" s="100" t="s">
        <v>3047</v>
      </c>
      <c r="B81" s="100" t="s">
        <v>2945</v>
      </c>
      <c r="C81" s="100"/>
      <c r="D81" s="104"/>
      <c r="E81" s="104"/>
      <c r="F81" s="99">
        <v>46069.3</v>
      </c>
      <c r="G81" s="104"/>
    </row>
    <row r="82" spans="1:7" x14ac:dyDescent="0.25">
      <c r="A82" s="97" t="s">
        <v>3055</v>
      </c>
      <c r="B82" s="97" t="s">
        <v>3056</v>
      </c>
      <c r="C82" s="97" t="s">
        <v>3055</v>
      </c>
      <c r="D82" s="101"/>
      <c r="E82" s="96">
        <v>7725</v>
      </c>
      <c r="F82" s="101"/>
      <c r="G82" s="101" t="s">
        <v>3057</v>
      </c>
    </row>
    <row r="83" spans="1:7" x14ac:dyDescent="0.25">
      <c r="A83" s="100" t="s">
        <v>3055</v>
      </c>
      <c r="B83" s="100" t="s">
        <v>3058</v>
      </c>
      <c r="C83" s="100" t="s">
        <v>3055</v>
      </c>
      <c r="D83" s="104"/>
      <c r="E83" s="99">
        <v>70175</v>
      </c>
      <c r="F83" s="104"/>
      <c r="G83" s="104" t="s">
        <v>3059</v>
      </c>
    </row>
    <row r="84" spans="1:7" x14ac:dyDescent="0.25">
      <c r="A84" s="97" t="s">
        <v>3055</v>
      </c>
      <c r="B84" s="97" t="s">
        <v>2945</v>
      </c>
      <c r="C84" s="97"/>
      <c r="D84" s="101"/>
      <c r="E84" s="101"/>
      <c r="F84" s="96">
        <v>123969.3</v>
      </c>
      <c r="G84" s="101"/>
    </row>
    <row r="85" spans="1:7" x14ac:dyDescent="0.25">
      <c r="A85" s="98">
        <v>45300</v>
      </c>
      <c r="B85" s="100" t="s">
        <v>3060</v>
      </c>
      <c r="C85" s="98">
        <v>45300</v>
      </c>
      <c r="D85" s="104"/>
      <c r="E85" s="99">
        <v>21040</v>
      </c>
      <c r="F85" s="104"/>
      <c r="G85" s="104" t="s">
        <v>3061</v>
      </c>
    </row>
    <row r="86" spans="1:7" x14ac:dyDescent="0.25">
      <c r="A86" s="95">
        <v>45300</v>
      </c>
      <c r="B86" s="97" t="s">
        <v>3062</v>
      </c>
      <c r="C86" s="95">
        <v>45300</v>
      </c>
      <c r="D86" s="96">
        <v>25000</v>
      </c>
      <c r="E86" s="101"/>
      <c r="F86" s="101"/>
      <c r="G86" s="101">
        <v>6153500</v>
      </c>
    </row>
    <row r="87" spans="1:7" x14ac:dyDescent="0.25">
      <c r="A87" s="98">
        <v>45300</v>
      </c>
      <c r="B87" s="100" t="s">
        <v>2945</v>
      </c>
      <c r="C87" s="100"/>
      <c r="D87" s="104"/>
      <c r="E87" s="104"/>
      <c r="F87" s="99">
        <v>120009.3</v>
      </c>
      <c r="G87" s="104"/>
    </row>
    <row r="88" spans="1:7" x14ac:dyDescent="0.25">
      <c r="A88" s="95">
        <v>45331</v>
      </c>
      <c r="B88" s="97" t="s">
        <v>3063</v>
      </c>
      <c r="C88" s="95">
        <v>45331</v>
      </c>
      <c r="D88" s="101"/>
      <c r="E88" s="96">
        <v>9375</v>
      </c>
      <c r="F88" s="101"/>
      <c r="G88" s="101" t="s">
        <v>3064</v>
      </c>
    </row>
    <row r="89" spans="1:7" x14ac:dyDescent="0.25">
      <c r="A89" s="98">
        <v>45331</v>
      </c>
      <c r="B89" s="100" t="s">
        <v>3065</v>
      </c>
      <c r="C89" s="98">
        <v>45331</v>
      </c>
      <c r="D89" s="104"/>
      <c r="E89" s="104">
        <v>750</v>
      </c>
      <c r="F89" s="104"/>
      <c r="G89" s="104" t="s">
        <v>3066</v>
      </c>
    </row>
    <row r="90" spans="1:7" x14ac:dyDescent="0.25">
      <c r="A90" s="95">
        <v>45331</v>
      </c>
      <c r="B90" s="97" t="s">
        <v>3067</v>
      </c>
      <c r="C90" s="95">
        <v>45331</v>
      </c>
      <c r="D90" s="101"/>
      <c r="E90" s="96">
        <v>99485</v>
      </c>
      <c r="F90" s="101"/>
      <c r="G90" s="101" t="s">
        <v>3068</v>
      </c>
    </row>
    <row r="91" spans="1:7" x14ac:dyDescent="0.25">
      <c r="A91" s="98">
        <v>45331</v>
      </c>
      <c r="B91" s="100" t="s">
        <v>3069</v>
      </c>
      <c r="C91" s="98">
        <v>45331</v>
      </c>
      <c r="D91" s="104"/>
      <c r="E91" s="99">
        <v>1650.93</v>
      </c>
      <c r="F91" s="104"/>
      <c r="G91" s="104">
        <v>141173601</v>
      </c>
    </row>
    <row r="92" spans="1:7" x14ac:dyDescent="0.25">
      <c r="A92" s="95">
        <v>45331</v>
      </c>
      <c r="B92" s="97" t="s">
        <v>3070</v>
      </c>
      <c r="C92" s="95">
        <v>45331</v>
      </c>
      <c r="D92" s="101"/>
      <c r="E92" s="96">
        <v>60000</v>
      </c>
      <c r="F92" s="101"/>
      <c r="G92" s="101">
        <v>141173601</v>
      </c>
    </row>
    <row r="93" spans="1:7" x14ac:dyDescent="0.25">
      <c r="A93" s="98">
        <v>45331</v>
      </c>
      <c r="B93" s="100" t="s">
        <v>3071</v>
      </c>
      <c r="C93" s="98">
        <v>45331</v>
      </c>
      <c r="D93" s="104"/>
      <c r="E93" s="99">
        <v>150000</v>
      </c>
      <c r="F93" s="104"/>
      <c r="G93" s="104">
        <v>141173601</v>
      </c>
    </row>
    <row r="94" spans="1:7" x14ac:dyDescent="0.25">
      <c r="A94" s="95">
        <v>45331</v>
      </c>
      <c r="B94" s="97" t="s">
        <v>2945</v>
      </c>
      <c r="C94" s="97"/>
      <c r="D94" s="101"/>
      <c r="E94" s="101"/>
      <c r="F94" s="96">
        <v>441270.23</v>
      </c>
      <c r="G94" s="101"/>
    </row>
    <row r="95" spans="1:7" x14ac:dyDescent="0.25">
      <c r="A95" s="98">
        <v>45360</v>
      </c>
      <c r="B95" s="100" t="s">
        <v>3072</v>
      </c>
      <c r="C95" s="98">
        <v>45360</v>
      </c>
      <c r="D95" s="104"/>
      <c r="E95" s="99">
        <v>2000</v>
      </c>
      <c r="F95" s="104"/>
      <c r="G95" s="104" t="s">
        <v>3073</v>
      </c>
    </row>
    <row r="96" spans="1:7" x14ac:dyDescent="0.25">
      <c r="A96" s="95">
        <v>45360</v>
      </c>
      <c r="B96" s="97" t="s">
        <v>3074</v>
      </c>
      <c r="C96" s="95">
        <v>45360</v>
      </c>
      <c r="D96" s="96">
        <v>1000000</v>
      </c>
      <c r="E96" s="101"/>
      <c r="F96" s="101"/>
      <c r="G96" s="101" t="s">
        <v>3075</v>
      </c>
    </row>
    <row r="97" spans="1:7" x14ac:dyDescent="0.25">
      <c r="A97" s="98">
        <v>45360</v>
      </c>
      <c r="B97" s="100" t="s">
        <v>2943</v>
      </c>
      <c r="C97" s="98">
        <v>45360</v>
      </c>
      <c r="D97" s="104"/>
      <c r="E97" s="99">
        <v>333000</v>
      </c>
      <c r="F97" s="104"/>
      <c r="G97" s="104">
        <v>144161738</v>
      </c>
    </row>
    <row r="98" spans="1:7" x14ac:dyDescent="0.25">
      <c r="A98" s="95">
        <v>45360</v>
      </c>
      <c r="B98" s="97" t="s">
        <v>2944</v>
      </c>
      <c r="C98" s="95">
        <v>45360</v>
      </c>
      <c r="D98" s="101"/>
      <c r="E98" s="96">
        <v>226000</v>
      </c>
      <c r="F98" s="101"/>
      <c r="G98" s="101">
        <v>144161711</v>
      </c>
    </row>
    <row r="99" spans="1:7" x14ac:dyDescent="0.25">
      <c r="A99" s="98">
        <v>45360</v>
      </c>
      <c r="B99" s="100" t="s">
        <v>2945</v>
      </c>
      <c r="C99" s="100"/>
      <c r="D99" s="104"/>
      <c r="E99" s="104"/>
      <c r="F99" s="99">
        <v>2270.23</v>
      </c>
      <c r="G99" s="104"/>
    </row>
    <row r="100" spans="1:7" x14ac:dyDescent="0.25">
      <c r="A100" s="95">
        <v>45391</v>
      </c>
      <c r="B100" s="97" t="s">
        <v>3076</v>
      </c>
      <c r="C100" s="95">
        <v>45391</v>
      </c>
      <c r="D100" s="101"/>
      <c r="E100" s="96">
        <v>44000</v>
      </c>
      <c r="F100" s="101"/>
      <c r="G100" s="101" t="s">
        <v>3077</v>
      </c>
    </row>
    <row r="101" spans="1:7" x14ac:dyDescent="0.25">
      <c r="A101" s="98">
        <v>45391</v>
      </c>
      <c r="B101" s="100" t="s">
        <v>3078</v>
      </c>
      <c r="C101" s="98">
        <v>45391</v>
      </c>
      <c r="D101" s="104"/>
      <c r="E101" s="99">
        <v>12065</v>
      </c>
      <c r="F101" s="104"/>
      <c r="G101" s="104" t="s">
        <v>3079</v>
      </c>
    </row>
    <row r="102" spans="1:7" x14ac:dyDescent="0.25">
      <c r="A102" s="95">
        <v>45391</v>
      </c>
      <c r="B102" s="97" t="s">
        <v>3080</v>
      </c>
      <c r="C102" s="95">
        <v>45391</v>
      </c>
      <c r="D102" s="101"/>
      <c r="E102" s="101">
        <v>325</v>
      </c>
      <c r="F102" s="101"/>
      <c r="G102" s="101" t="s">
        <v>3081</v>
      </c>
    </row>
    <row r="103" spans="1:7" x14ac:dyDescent="0.25">
      <c r="A103" s="98">
        <v>45391</v>
      </c>
      <c r="B103" s="100" t="s">
        <v>3082</v>
      </c>
      <c r="C103" s="98">
        <v>45391</v>
      </c>
      <c r="D103" s="104"/>
      <c r="E103" s="99">
        <v>8485</v>
      </c>
      <c r="F103" s="104"/>
      <c r="G103" s="104" t="s">
        <v>3083</v>
      </c>
    </row>
    <row r="104" spans="1:7" x14ac:dyDescent="0.25">
      <c r="A104" s="95">
        <v>45391</v>
      </c>
      <c r="B104" s="97" t="s">
        <v>3084</v>
      </c>
      <c r="C104" s="95">
        <v>45391</v>
      </c>
      <c r="D104" s="96">
        <v>5254.5</v>
      </c>
      <c r="E104" s="101"/>
      <c r="F104" s="101"/>
      <c r="G104" s="101">
        <v>501095918</v>
      </c>
    </row>
    <row r="105" spans="1:7" x14ac:dyDescent="0.25">
      <c r="A105" s="98">
        <v>45391</v>
      </c>
      <c r="B105" s="100" t="s">
        <v>3085</v>
      </c>
      <c r="C105" s="98">
        <v>45391</v>
      </c>
      <c r="D105" s="104"/>
      <c r="E105" s="99">
        <v>50000</v>
      </c>
      <c r="F105" s="104"/>
      <c r="G105" s="104">
        <v>144174616</v>
      </c>
    </row>
    <row r="106" spans="1:7" x14ac:dyDescent="0.25">
      <c r="A106" s="95">
        <v>45391</v>
      </c>
      <c r="B106" s="97" t="s">
        <v>2945</v>
      </c>
      <c r="C106" s="97"/>
      <c r="D106" s="101"/>
      <c r="E106" s="101"/>
      <c r="F106" s="96">
        <v>111890.73</v>
      </c>
      <c r="G106" s="101"/>
    </row>
    <row r="107" spans="1:7" x14ac:dyDescent="0.25">
      <c r="A107" s="98">
        <v>45421</v>
      </c>
      <c r="B107" s="100" t="s">
        <v>3086</v>
      </c>
      <c r="C107" s="98">
        <v>45421</v>
      </c>
      <c r="D107" s="104"/>
      <c r="E107" s="99">
        <v>1160</v>
      </c>
      <c r="F107" s="104"/>
      <c r="G107" s="104" t="s">
        <v>3087</v>
      </c>
    </row>
    <row r="108" spans="1:7" x14ac:dyDescent="0.25">
      <c r="A108" s="95">
        <v>45421</v>
      </c>
      <c r="B108" s="97" t="s">
        <v>3088</v>
      </c>
      <c r="C108" s="95">
        <v>45421</v>
      </c>
      <c r="D108" s="101"/>
      <c r="E108" s="96">
        <v>5600</v>
      </c>
      <c r="F108" s="101"/>
      <c r="G108" s="101" t="s">
        <v>3089</v>
      </c>
    </row>
    <row r="109" spans="1:7" x14ac:dyDescent="0.25">
      <c r="A109" s="98">
        <v>45421</v>
      </c>
      <c r="B109" s="100" t="s">
        <v>3090</v>
      </c>
      <c r="C109" s="98">
        <v>45421</v>
      </c>
      <c r="D109" s="104"/>
      <c r="E109" s="99">
        <v>38600</v>
      </c>
      <c r="F109" s="104"/>
      <c r="G109" s="104">
        <v>144172901</v>
      </c>
    </row>
    <row r="110" spans="1:7" x14ac:dyDescent="0.25">
      <c r="A110" s="95">
        <v>45421</v>
      </c>
      <c r="B110" s="97" t="s">
        <v>2945</v>
      </c>
      <c r="C110" s="97"/>
      <c r="D110" s="101"/>
      <c r="E110" s="101"/>
      <c r="F110" s="96">
        <v>157250.73000000001</v>
      </c>
      <c r="G110" s="101"/>
    </row>
    <row r="111" spans="1:7" x14ac:dyDescent="0.25">
      <c r="A111" s="98">
        <v>45452</v>
      </c>
      <c r="B111" s="100" t="s">
        <v>3091</v>
      </c>
      <c r="C111" s="98">
        <v>45452</v>
      </c>
      <c r="D111" s="104"/>
      <c r="E111" s="99">
        <v>9000</v>
      </c>
      <c r="F111" s="104"/>
      <c r="G111" s="104" t="s">
        <v>3092</v>
      </c>
    </row>
    <row r="112" spans="1:7" x14ac:dyDescent="0.25">
      <c r="A112" s="95">
        <v>45452</v>
      </c>
      <c r="B112" s="97" t="s">
        <v>3093</v>
      </c>
      <c r="C112" s="95">
        <v>45452</v>
      </c>
      <c r="D112" s="101"/>
      <c r="E112" s="96">
        <v>14550</v>
      </c>
      <c r="F112" s="101"/>
      <c r="G112" s="101" t="s">
        <v>3094</v>
      </c>
    </row>
    <row r="113" spans="1:7" x14ac:dyDescent="0.25">
      <c r="A113" s="98">
        <v>45452</v>
      </c>
      <c r="B113" s="100" t="s">
        <v>2945</v>
      </c>
      <c r="C113" s="100"/>
      <c r="D113" s="104"/>
      <c r="E113" s="104"/>
      <c r="F113" s="99">
        <v>180800.73</v>
      </c>
      <c r="G113" s="104"/>
    </row>
    <row r="114" spans="1:7" x14ac:dyDescent="0.25">
      <c r="A114" s="95">
        <v>45482</v>
      </c>
      <c r="B114" s="97" t="s">
        <v>3095</v>
      </c>
      <c r="C114" s="95">
        <v>45482</v>
      </c>
      <c r="D114" s="101"/>
      <c r="E114" s="96">
        <v>36000</v>
      </c>
      <c r="F114" s="101"/>
      <c r="G114" s="101" t="s">
        <v>3096</v>
      </c>
    </row>
    <row r="115" spans="1:7" x14ac:dyDescent="0.25">
      <c r="A115" s="98">
        <v>45482</v>
      </c>
      <c r="B115" s="100" t="s">
        <v>3097</v>
      </c>
      <c r="C115" s="98">
        <v>45482</v>
      </c>
      <c r="D115" s="104"/>
      <c r="E115" s="99">
        <v>16195</v>
      </c>
      <c r="F115" s="104"/>
      <c r="G115" s="104" t="s">
        <v>3098</v>
      </c>
    </row>
    <row r="116" spans="1:7" x14ac:dyDescent="0.25">
      <c r="A116" s="95">
        <v>45482</v>
      </c>
      <c r="B116" s="97" t="s">
        <v>3099</v>
      </c>
      <c r="C116" s="95">
        <v>45482</v>
      </c>
      <c r="D116" s="101"/>
      <c r="E116" s="96">
        <v>12110</v>
      </c>
      <c r="F116" s="101"/>
      <c r="G116" s="101" t="s">
        <v>3100</v>
      </c>
    </row>
    <row r="117" spans="1:7" x14ac:dyDescent="0.25">
      <c r="A117" s="98">
        <v>45482</v>
      </c>
      <c r="B117" s="100" t="s">
        <v>2945</v>
      </c>
      <c r="C117" s="100"/>
      <c r="D117" s="104"/>
      <c r="E117" s="104"/>
      <c r="F117" s="99">
        <v>245105.73</v>
      </c>
      <c r="G117" s="104"/>
    </row>
    <row r="118" spans="1:7" x14ac:dyDescent="0.25">
      <c r="A118" s="95">
        <v>45513</v>
      </c>
      <c r="B118" s="97" t="s">
        <v>3101</v>
      </c>
      <c r="C118" s="95">
        <v>45513</v>
      </c>
      <c r="D118" s="101"/>
      <c r="E118" s="96">
        <v>33000</v>
      </c>
      <c r="F118" s="101"/>
      <c r="G118" s="101" t="s">
        <v>3102</v>
      </c>
    </row>
    <row r="119" spans="1:7" x14ac:dyDescent="0.25">
      <c r="A119" s="98">
        <v>45513</v>
      </c>
      <c r="B119" s="100" t="s">
        <v>3103</v>
      </c>
      <c r="C119" s="98">
        <v>45513</v>
      </c>
      <c r="D119" s="104"/>
      <c r="E119" s="99">
        <v>14100</v>
      </c>
      <c r="F119" s="104"/>
      <c r="G119" s="104" t="s">
        <v>3104</v>
      </c>
    </row>
    <row r="120" spans="1:7" x14ac:dyDescent="0.25">
      <c r="A120" s="95">
        <v>45513</v>
      </c>
      <c r="B120" s="97" t="s">
        <v>3105</v>
      </c>
      <c r="C120" s="95">
        <v>45513</v>
      </c>
      <c r="D120" s="101"/>
      <c r="E120" s="96">
        <v>7200</v>
      </c>
      <c r="F120" s="101"/>
      <c r="G120" s="101" t="s">
        <v>3106</v>
      </c>
    </row>
    <row r="121" spans="1:7" x14ac:dyDescent="0.25">
      <c r="A121" s="98">
        <v>45513</v>
      </c>
      <c r="B121" s="100" t="s">
        <v>2944</v>
      </c>
      <c r="C121" s="98">
        <v>45513</v>
      </c>
      <c r="D121" s="104"/>
      <c r="E121" s="99">
        <v>450000</v>
      </c>
      <c r="F121" s="104"/>
      <c r="G121" s="104" t="s">
        <v>3107</v>
      </c>
    </row>
    <row r="122" spans="1:7" x14ac:dyDescent="0.25">
      <c r="A122" s="95">
        <v>45513</v>
      </c>
      <c r="B122" s="97" t="s">
        <v>3108</v>
      </c>
      <c r="C122" s="95">
        <v>45513</v>
      </c>
      <c r="D122" s="96">
        <v>15000</v>
      </c>
      <c r="E122" s="101"/>
      <c r="F122" s="101"/>
      <c r="G122" s="101">
        <v>6161618</v>
      </c>
    </row>
    <row r="123" spans="1:7" x14ac:dyDescent="0.25">
      <c r="A123" s="98">
        <v>45513</v>
      </c>
      <c r="B123" s="100" t="s">
        <v>3109</v>
      </c>
      <c r="C123" s="98">
        <v>45513</v>
      </c>
      <c r="D123" s="99">
        <v>25000</v>
      </c>
      <c r="E123" s="104"/>
      <c r="F123" s="104"/>
      <c r="G123" s="104">
        <v>6161319</v>
      </c>
    </row>
    <row r="124" spans="1:7" x14ac:dyDescent="0.25">
      <c r="A124" s="95">
        <v>45513</v>
      </c>
      <c r="B124" s="97" t="s">
        <v>2945</v>
      </c>
      <c r="C124" s="97"/>
      <c r="D124" s="101"/>
      <c r="E124" s="101"/>
      <c r="F124" s="96">
        <v>709405.73</v>
      </c>
      <c r="G124" s="101"/>
    </row>
    <row r="125" spans="1:7" x14ac:dyDescent="0.25">
      <c r="A125" s="98">
        <v>45544</v>
      </c>
      <c r="B125" s="100" t="s">
        <v>3110</v>
      </c>
      <c r="C125" s="98">
        <v>45544</v>
      </c>
      <c r="D125" s="104"/>
      <c r="E125" s="99">
        <v>24600</v>
      </c>
      <c r="F125" s="104"/>
      <c r="G125" s="104" t="s">
        <v>3111</v>
      </c>
    </row>
    <row r="126" spans="1:7" x14ac:dyDescent="0.25">
      <c r="A126" s="95">
        <v>45544</v>
      </c>
      <c r="B126" s="97" t="s">
        <v>3112</v>
      </c>
      <c r="C126" s="95">
        <v>45544</v>
      </c>
      <c r="D126" s="101"/>
      <c r="E126" s="96">
        <v>1250</v>
      </c>
      <c r="F126" s="101"/>
      <c r="G126" s="101" t="s">
        <v>3113</v>
      </c>
    </row>
    <row r="127" spans="1:7" x14ac:dyDescent="0.25">
      <c r="A127" s="98">
        <v>45544</v>
      </c>
      <c r="B127" s="100" t="s">
        <v>3114</v>
      </c>
      <c r="C127" s="98">
        <v>45544</v>
      </c>
      <c r="D127" s="104"/>
      <c r="E127" s="99">
        <v>35000</v>
      </c>
      <c r="F127" s="104"/>
      <c r="G127" s="104" t="s">
        <v>3115</v>
      </c>
    </row>
    <row r="128" spans="1:7" x14ac:dyDescent="0.25">
      <c r="A128" s="95">
        <v>45544</v>
      </c>
      <c r="B128" s="97" t="s">
        <v>2997</v>
      </c>
      <c r="C128" s="95">
        <v>45544</v>
      </c>
      <c r="D128" s="101">
        <v>16.95</v>
      </c>
      <c r="E128" s="101"/>
      <c r="F128" s="101"/>
      <c r="G128" s="101" t="s">
        <v>3116</v>
      </c>
    </row>
    <row r="129" spans="1:7" x14ac:dyDescent="0.25">
      <c r="A129" s="98">
        <v>45544</v>
      </c>
      <c r="B129" s="100" t="s">
        <v>3117</v>
      </c>
      <c r="C129" s="98">
        <v>45544</v>
      </c>
      <c r="D129" s="104"/>
      <c r="E129" s="99">
        <v>2094000</v>
      </c>
      <c r="F129" s="104"/>
      <c r="G129" s="104" t="s">
        <v>3118</v>
      </c>
    </row>
    <row r="130" spans="1:7" x14ac:dyDescent="0.25">
      <c r="A130" s="95">
        <v>45544</v>
      </c>
      <c r="B130" s="97" t="s">
        <v>2945</v>
      </c>
      <c r="C130" s="97"/>
      <c r="D130" s="101"/>
      <c r="E130" s="101"/>
      <c r="F130" s="96">
        <v>2864238.78</v>
      </c>
      <c r="G130" s="101"/>
    </row>
    <row r="131" spans="1:7" x14ac:dyDescent="0.25">
      <c r="A131" s="98">
        <v>45574</v>
      </c>
      <c r="B131" s="100" t="s">
        <v>3119</v>
      </c>
      <c r="C131" s="98">
        <v>45574</v>
      </c>
      <c r="D131" s="99">
        <v>700000</v>
      </c>
      <c r="E131" s="104"/>
      <c r="F131" s="104"/>
      <c r="G131" s="104" t="s">
        <v>3120</v>
      </c>
    </row>
    <row r="132" spans="1:7" x14ac:dyDescent="0.25">
      <c r="A132" s="95">
        <v>45574</v>
      </c>
      <c r="B132" s="97" t="s">
        <v>3121</v>
      </c>
      <c r="C132" s="95">
        <v>45574</v>
      </c>
      <c r="D132" s="101"/>
      <c r="E132" s="101">
        <v>375</v>
      </c>
      <c r="F132" s="101"/>
      <c r="G132" s="101" t="s">
        <v>3122</v>
      </c>
    </row>
    <row r="133" spans="1:7" x14ac:dyDescent="0.25">
      <c r="A133" s="98">
        <v>45574</v>
      </c>
      <c r="B133" s="100" t="s">
        <v>3123</v>
      </c>
      <c r="C133" s="98">
        <v>45574</v>
      </c>
      <c r="D133" s="104"/>
      <c r="E133" s="99">
        <v>21520</v>
      </c>
      <c r="F133" s="104"/>
      <c r="G133" s="104" t="s">
        <v>3124</v>
      </c>
    </row>
    <row r="134" spans="1:7" x14ac:dyDescent="0.25">
      <c r="A134" s="95">
        <v>45574</v>
      </c>
      <c r="B134" s="97" t="s">
        <v>3125</v>
      </c>
      <c r="C134" s="95">
        <v>45574</v>
      </c>
      <c r="D134" s="101"/>
      <c r="E134" s="96">
        <v>85510</v>
      </c>
      <c r="F134" s="101"/>
      <c r="G134" s="101" t="s">
        <v>3126</v>
      </c>
    </row>
    <row r="135" spans="1:7" x14ac:dyDescent="0.25">
      <c r="A135" s="98">
        <v>45574</v>
      </c>
      <c r="B135" s="100" t="s">
        <v>3127</v>
      </c>
      <c r="C135" s="98">
        <v>45574</v>
      </c>
      <c r="D135" s="104"/>
      <c r="E135" s="99">
        <v>15450</v>
      </c>
      <c r="F135" s="104"/>
      <c r="G135" s="104" t="s">
        <v>3128</v>
      </c>
    </row>
    <row r="136" spans="1:7" x14ac:dyDescent="0.25">
      <c r="A136" s="95">
        <v>45574</v>
      </c>
      <c r="B136" s="97" t="s">
        <v>3129</v>
      </c>
      <c r="C136" s="95">
        <v>45574</v>
      </c>
      <c r="D136" s="96">
        <v>500000</v>
      </c>
      <c r="E136" s="101"/>
      <c r="F136" s="101"/>
      <c r="G136" s="101">
        <v>6112645</v>
      </c>
    </row>
    <row r="137" spans="1:7" x14ac:dyDescent="0.25">
      <c r="A137" s="98">
        <v>45574</v>
      </c>
      <c r="B137" s="100" t="s">
        <v>2997</v>
      </c>
      <c r="C137" s="98">
        <v>45574</v>
      </c>
      <c r="D137" s="104">
        <v>16.95</v>
      </c>
      <c r="E137" s="104"/>
      <c r="F137" s="104"/>
      <c r="G137" s="104" t="s">
        <v>3130</v>
      </c>
    </row>
    <row r="138" spans="1:7" x14ac:dyDescent="0.25">
      <c r="A138" s="95">
        <v>45574</v>
      </c>
      <c r="B138" s="97" t="s">
        <v>3131</v>
      </c>
      <c r="C138" s="95">
        <v>45574</v>
      </c>
      <c r="D138" s="101"/>
      <c r="E138" s="96">
        <v>224000</v>
      </c>
      <c r="F138" s="101"/>
      <c r="G138" s="101" t="s">
        <v>3132</v>
      </c>
    </row>
    <row r="139" spans="1:7" x14ac:dyDescent="0.25">
      <c r="A139" s="98">
        <v>45574</v>
      </c>
      <c r="B139" s="100" t="s">
        <v>2945</v>
      </c>
      <c r="C139" s="100"/>
      <c r="D139" s="104"/>
      <c r="E139" s="104"/>
      <c r="F139" s="99">
        <v>2011076.83</v>
      </c>
      <c r="G139" s="104"/>
    </row>
    <row r="140" spans="1:7" x14ac:dyDescent="0.25">
      <c r="A140" s="95">
        <v>45605</v>
      </c>
      <c r="B140" s="97" t="s">
        <v>3133</v>
      </c>
      <c r="C140" s="95">
        <v>45605</v>
      </c>
      <c r="D140" s="101"/>
      <c r="E140" s="96">
        <v>15000</v>
      </c>
      <c r="F140" s="101"/>
      <c r="G140" s="101" t="s">
        <v>3134</v>
      </c>
    </row>
    <row r="141" spans="1:7" x14ac:dyDescent="0.25">
      <c r="A141" s="98">
        <v>45605</v>
      </c>
      <c r="B141" s="100" t="s">
        <v>3135</v>
      </c>
      <c r="C141" s="98">
        <v>45605</v>
      </c>
      <c r="D141" s="104"/>
      <c r="E141" s="99">
        <v>3500</v>
      </c>
      <c r="F141" s="104"/>
      <c r="G141" s="104" t="s">
        <v>3136</v>
      </c>
    </row>
    <row r="142" spans="1:7" x14ac:dyDescent="0.25">
      <c r="A142" s="95">
        <v>45605</v>
      </c>
      <c r="B142" s="97" t="s">
        <v>3137</v>
      </c>
      <c r="C142" s="95">
        <v>45605</v>
      </c>
      <c r="D142" s="101"/>
      <c r="E142" s="96">
        <v>18175</v>
      </c>
      <c r="F142" s="101"/>
      <c r="G142" s="101" t="s">
        <v>3138</v>
      </c>
    </row>
    <row r="143" spans="1:7" x14ac:dyDescent="0.25">
      <c r="A143" s="98">
        <v>45605</v>
      </c>
      <c r="B143" s="100" t="s">
        <v>3139</v>
      </c>
      <c r="C143" s="98">
        <v>45605</v>
      </c>
      <c r="D143" s="104"/>
      <c r="E143" s="99">
        <v>80000</v>
      </c>
      <c r="F143" s="104"/>
      <c r="G143" s="104" t="s">
        <v>3140</v>
      </c>
    </row>
    <row r="144" spans="1:7" x14ac:dyDescent="0.25">
      <c r="A144" s="95">
        <v>45605</v>
      </c>
      <c r="B144" s="97" t="s">
        <v>2944</v>
      </c>
      <c r="C144" s="95">
        <v>45605</v>
      </c>
      <c r="D144" s="101"/>
      <c r="E144" s="96">
        <v>250000</v>
      </c>
      <c r="F144" s="101"/>
      <c r="G144" s="101" t="s">
        <v>3141</v>
      </c>
    </row>
    <row r="145" spans="1:7" x14ac:dyDescent="0.25">
      <c r="A145" s="98">
        <v>45605</v>
      </c>
      <c r="B145" s="100" t="s">
        <v>2945</v>
      </c>
      <c r="C145" s="100"/>
      <c r="D145" s="104"/>
      <c r="E145" s="104"/>
      <c r="F145" s="99">
        <v>2377751.83</v>
      </c>
      <c r="G145" s="104"/>
    </row>
    <row r="146" spans="1:7" x14ac:dyDescent="0.25">
      <c r="A146" s="95">
        <v>45635</v>
      </c>
      <c r="B146" s="97" t="s">
        <v>3142</v>
      </c>
      <c r="C146" s="95">
        <v>45635</v>
      </c>
      <c r="D146" s="101"/>
      <c r="E146" s="96">
        <v>5875</v>
      </c>
      <c r="F146" s="101"/>
      <c r="G146" s="101" t="s">
        <v>3143</v>
      </c>
    </row>
    <row r="147" spans="1:7" x14ac:dyDescent="0.25">
      <c r="A147" s="98">
        <v>45635</v>
      </c>
      <c r="B147" s="100" t="s">
        <v>3144</v>
      </c>
      <c r="C147" s="98">
        <v>45635</v>
      </c>
      <c r="D147" s="104"/>
      <c r="E147" s="99">
        <v>2900</v>
      </c>
      <c r="F147" s="104"/>
      <c r="G147" s="104" t="s">
        <v>3145</v>
      </c>
    </row>
    <row r="148" spans="1:7" x14ac:dyDescent="0.25">
      <c r="A148" s="95">
        <v>45635</v>
      </c>
      <c r="B148" s="97" t="s">
        <v>3146</v>
      </c>
      <c r="C148" s="95">
        <v>45635</v>
      </c>
      <c r="D148" s="101"/>
      <c r="E148" s="96">
        <v>4405</v>
      </c>
      <c r="F148" s="101"/>
      <c r="G148" s="101" t="s">
        <v>3147</v>
      </c>
    </row>
    <row r="149" spans="1:7" x14ac:dyDescent="0.25">
      <c r="A149" s="98">
        <v>45635</v>
      </c>
      <c r="B149" s="100" t="s">
        <v>3148</v>
      </c>
      <c r="C149" s="98">
        <v>45635</v>
      </c>
      <c r="D149" s="99">
        <v>2000000</v>
      </c>
      <c r="E149" s="104"/>
      <c r="F149" s="104"/>
      <c r="G149" s="104" t="s">
        <v>3149</v>
      </c>
    </row>
    <row r="150" spans="1:7" x14ac:dyDescent="0.25">
      <c r="A150" s="95">
        <v>45635</v>
      </c>
      <c r="B150" s="97" t="s">
        <v>3150</v>
      </c>
      <c r="C150" s="95">
        <v>45635</v>
      </c>
      <c r="D150" s="101"/>
      <c r="E150" s="96">
        <v>55000</v>
      </c>
      <c r="F150" s="101"/>
      <c r="G150" s="101">
        <v>141172053</v>
      </c>
    </row>
    <row r="151" spans="1:7" x14ac:dyDescent="0.25">
      <c r="A151" s="98">
        <v>45635</v>
      </c>
      <c r="B151" s="100" t="s">
        <v>3151</v>
      </c>
      <c r="C151" s="98">
        <v>45635</v>
      </c>
      <c r="D151" s="99">
        <v>55000</v>
      </c>
      <c r="E151" s="104"/>
      <c r="F151" s="104"/>
      <c r="G151" s="104">
        <v>141172101</v>
      </c>
    </row>
    <row r="152" spans="1:7" x14ac:dyDescent="0.25">
      <c r="A152" s="95">
        <v>45635</v>
      </c>
      <c r="B152" s="97" t="s">
        <v>3152</v>
      </c>
      <c r="C152" s="95">
        <v>45635</v>
      </c>
      <c r="D152" s="101"/>
      <c r="E152" s="96">
        <v>1000000</v>
      </c>
      <c r="F152" s="101"/>
      <c r="G152" s="101">
        <v>144125514</v>
      </c>
    </row>
    <row r="153" spans="1:7" x14ac:dyDescent="0.25">
      <c r="A153" s="98">
        <v>45635</v>
      </c>
      <c r="B153" s="100" t="s">
        <v>2997</v>
      </c>
      <c r="C153" s="98">
        <v>45635</v>
      </c>
      <c r="D153" s="104">
        <v>16.95</v>
      </c>
      <c r="E153" s="104"/>
      <c r="F153" s="104"/>
      <c r="G153" s="104">
        <v>141172001</v>
      </c>
    </row>
    <row r="154" spans="1:7" x14ac:dyDescent="0.25">
      <c r="A154" s="95">
        <v>45635</v>
      </c>
      <c r="B154" s="97" t="s">
        <v>3153</v>
      </c>
      <c r="C154" s="95">
        <v>45635</v>
      </c>
      <c r="D154" s="101"/>
      <c r="E154" s="96">
        <v>922000</v>
      </c>
      <c r="F154" s="101"/>
      <c r="G154" s="101">
        <v>141172053</v>
      </c>
    </row>
    <row r="155" spans="1:7" x14ac:dyDescent="0.25">
      <c r="A155" s="98">
        <v>45635</v>
      </c>
      <c r="B155" s="100" t="s">
        <v>2945</v>
      </c>
      <c r="C155" s="100"/>
      <c r="D155" s="104"/>
      <c r="E155" s="104"/>
      <c r="F155" s="99">
        <v>2312914.88</v>
      </c>
      <c r="G155" s="104"/>
    </row>
    <row r="156" spans="1:7" x14ac:dyDescent="0.25">
      <c r="A156" s="97" t="s">
        <v>3154</v>
      </c>
      <c r="B156" s="97" t="s">
        <v>3155</v>
      </c>
      <c r="C156" s="97" t="s">
        <v>3154</v>
      </c>
      <c r="D156" s="101"/>
      <c r="E156" s="96">
        <v>50150</v>
      </c>
      <c r="F156" s="101"/>
      <c r="G156" s="101" t="s">
        <v>3156</v>
      </c>
    </row>
    <row r="157" spans="1:7" x14ac:dyDescent="0.25">
      <c r="A157" s="100" t="s">
        <v>3154</v>
      </c>
      <c r="B157" s="100" t="s">
        <v>3157</v>
      </c>
      <c r="C157" s="100" t="s">
        <v>3154</v>
      </c>
      <c r="D157" s="104"/>
      <c r="E157" s="99">
        <v>11035</v>
      </c>
      <c r="F157" s="104"/>
      <c r="G157" s="104" t="s">
        <v>3158</v>
      </c>
    </row>
    <row r="158" spans="1:7" x14ac:dyDescent="0.25">
      <c r="A158" s="97" t="s">
        <v>3154</v>
      </c>
      <c r="B158" s="97" t="s">
        <v>3159</v>
      </c>
      <c r="C158" s="97" t="s">
        <v>3154</v>
      </c>
      <c r="D158" s="96">
        <v>2000000</v>
      </c>
      <c r="E158" s="101"/>
      <c r="F158" s="101"/>
      <c r="G158" s="101" t="s">
        <v>3160</v>
      </c>
    </row>
    <row r="159" spans="1:7" x14ac:dyDescent="0.25">
      <c r="A159" s="100" t="s">
        <v>3154</v>
      </c>
      <c r="B159" s="100" t="s">
        <v>2944</v>
      </c>
      <c r="C159" s="100" t="s">
        <v>3154</v>
      </c>
      <c r="D159" s="104"/>
      <c r="E159" s="99">
        <v>650000</v>
      </c>
      <c r="F159" s="104"/>
      <c r="G159" s="104" t="s">
        <v>3161</v>
      </c>
    </row>
    <row r="160" spans="1:7" x14ac:dyDescent="0.25">
      <c r="A160" s="97" t="s">
        <v>3154</v>
      </c>
      <c r="B160" s="97" t="s">
        <v>2945</v>
      </c>
      <c r="C160" s="97"/>
      <c r="D160" s="101"/>
      <c r="E160" s="101"/>
      <c r="F160" s="96">
        <v>1024099.88</v>
      </c>
      <c r="G160" s="101"/>
    </row>
    <row r="161" spans="1:7" x14ac:dyDescent="0.25">
      <c r="A161" s="100" t="s">
        <v>3162</v>
      </c>
      <c r="B161" s="100" t="s">
        <v>3163</v>
      </c>
      <c r="C161" s="100" t="s">
        <v>3162</v>
      </c>
      <c r="D161" s="104"/>
      <c r="E161" s="99">
        <v>1450</v>
      </c>
      <c r="F161" s="104"/>
      <c r="G161" s="104" t="s">
        <v>3164</v>
      </c>
    </row>
    <row r="162" spans="1:7" x14ac:dyDescent="0.25">
      <c r="A162" s="97" t="s">
        <v>3162</v>
      </c>
      <c r="B162" s="97" t="s">
        <v>3165</v>
      </c>
      <c r="C162" s="97" t="s">
        <v>3162</v>
      </c>
      <c r="D162" s="101"/>
      <c r="E162" s="96">
        <v>35735</v>
      </c>
      <c r="F162" s="101"/>
      <c r="G162" s="101" t="s">
        <v>3166</v>
      </c>
    </row>
    <row r="163" spans="1:7" x14ac:dyDescent="0.25">
      <c r="A163" s="100" t="s">
        <v>3162</v>
      </c>
      <c r="B163" s="100" t="s">
        <v>2945</v>
      </c>
      <c r="C163" s="100"/>
      <c r="D163" s="104"/>
      <c r="E163" s="104"/>
      <c r="F163" s="99">
        <v>1061284.8799999999</v>
      </c>
      <c r="G163" s="104"/>
    </row>
    <row r="164" spans="1:7" x14ac:dyDescent="0.25">
      <c r="A164" s="97" t="s">
        <v>3167</v>
      </c>
      <c r="B164" s="97" t="s">
        <v>3168</v>
      </c>
      <c r="C164" s="97" t="s">
        <v>3167</v>
      </c>
      <c r="D164" s="101"/>
      <c r="E164" s="96">
        <v>21575</v>
      </c>
      <c r="F164" s="101"/>
      <c r="G164" s="101" t="s">
        <v>3169</v>
      </c>
    </row>
    <row r="165" spans="1:7" x14ac:dyDescent="0.25">
      <c r="A165" s="100" t="s">
        <v>3167</v>
      </c>
      <c r="B165" s="100" t="s">
        <v>3170</v>
      </c>
      <c r="C165" s="100" t="s">
        <v>3167</v>
      </c>
      <c r="D165" s="104"/>
      <c r="E165" s="99">
        <v>39270</v>
      </c>
      <c r="F165" s="104"/>
      <c r="G165" s="104" t="s">
        <v>3171</v>
      </c>
    </row>
    <row r="166" spans="1:7" x14ac:dyDescent="0.25">
      <c r="A166" s="97" t="s">
        <v>3167</v>
      </c>
      <c r="B166" s="97" t="s">
        <v>3172</v>
      </c>
      <c r="C166" s="97" t="s">
        <v>3167</v>
      </c>
      <c r="D166" s="101"/>
      <c r="E166" s="96">
        <v>30435</v>
      </c>
      <c r="F166" s="101"/>
      <c r="G166" s="101" t="s">
        <v>3173</v>
      </c>
    </row>
    <row r="167" spans="1:7" x14ac:dyDescent="0.25">
      <c r="A167" s="100" t="s">
        <v>3167</v>
      </c>
      <c r="B167" s="100" t="s">
        <v>3174</v>
      </c>
      <c r="C167" s="100" t="s">
        <v>3167</v>
      </c>
      <c r="D167" s="99">
        <v>2000000</v>
      </c>
      <c r="E167" s="104"/>
      <c r="F167" s="104"/>
      <c r="G167" s="104" t="s">
        <v>3175</v>
      </c>
    </row>
    <row r="168" spans="1:7" x14ac:dyDescent="0.25">
      <c r="A168" s="97" t="s">
        <v>3167</v>
      </c>
      <c r="B168" s="97" t="s">
        <v>3176</v>
      </c>
      <c r="C168" s="97" t="s">
        <v>3167</v>
      </c>
      <c r="D168" s="101"/>
      <c r="E168" s="96">
        <v>100000</v>
      </c>
      <c r="F168" s="101"/>
      <c r="G168" s="101">
        <v>141175233</v>
      </c>
    </row>
    <row r="169" spans="1:7" x14ac:dyDescent="0.25">
      <c r="A169" s="100" t="s">
        <v>3167</v>
      </c>
      <c r="B169" s="100" t="s">
        <v>3177</v>
      </c>
      <c r="C169" s="100" t="s">
        <v>3167</v>
      </c>
      <c r="D169" s="104"/>
      <c r="E169" s="99">
        <v>200000</v>
      </c>
      <c r="F169" s="104"/>
      <c r="G169" s="104">
        <v>141175233</v>
      </c>
    </row>
    <row r="170" spans="1:7" x14ac:dyDescent="0.25">
      <c r="A170" s="97" t="s">
        <v>3167</v>
      </c>
      <c r="B170" s="97" t="s">
        <v>3178</v>
      </c>
      <c r="C170" s="97" t="s">
        <v>3167</v>
      </c>
      <c r="D170" s="96">
        <v>500000</v>
      </c>
      <c r="E170" s="101"/>
      <c r="F170" s="101"/>
      <c r="G170" s="101">
        <v>141175240</v>
      </c>
    </row>
    <row r="171" spans="1:7" x14ac:dyDescent="0.25">
      <c r="A171" s="100" t="s">
        <v>3167</v>
      </c>
      <c r="B171" s="100" t="s">
        <v>3179</v>
      </c>
      <c r="C171" s="100" t="s">
        <v>3167</v>
      </c>
      <c r="D171" s="99">
        <v>200000</v>
      </c>
      <c r="E171" s="104"/>
      <c r="F171" s="104"/>
      <c r="G171" s="104">
        <v>144183321</v>
      </c>
    </row>
    <row r="172" spans="1:7" x14ac:dyDescent="0.25">
      <c r="A172" s="97" t="s">
        <v>3167</v>
      </c>
      <c r="B172" s="97" t="s">
        <v>3180</v>
      </c>
      <c r="C172" s="97" t="s">
        <v>3167</v>
      </c>
      <c r="D172" s="101"/>
      <c r="E172" s="96">
        <v>2500000</v>
      </c>
      <c r="F172" s="101"/>
      <c r="G172" s="101">
        <v>144141613</v>
      </c>
    </row>
    <row r="173" spans="1:7" x14ac:dyDescent="0.25">
      <c r="A173" s="100" t="s">
        <v>3167</v>
      </c>
      <c r="B173" s="100" t="s">
        <v>2997</v>
      </c>
      <c r="C173" s="100" t="s">
        <v>3167</v>
      </c>
      <c r="D173" s="104">
        <v>50.85</v>
      </c>
      <c r="E173" s="104"/>
      <c r="F173" s="104"/>
      <c r="G173" s="104">
        <v>141174201</v>
      </c>
    </row>
    <row r="174" spans="1:7" x14ac:dyDescent="0.25">
      <c r="A174" s="97" t="s">
        <v>3167</v>
      </c>
      <c r="B174" s="97" t="s">
        <v>3181</v>
      </c>
      <c r="C174" s="97" t="s">
        <v>3167</v>
      </c>
      <c r="D174" s="96">
        <v>75446.539999999994</v>
      </c>
      <c r="E174" s="101"/>
      <c r="F174" s="101"/>
      <c r="G174" s="101">
        <v>144164535</v>
      </c>
    </row>
    <row r="175" spans="1:7" x14ac:dyDescent="0.25">
      <c r="A175" s="100" t="s">
        <v>3167</v>
      </c>
      <c r="B175" s="100" t="s">
        <v>3182</v>
      </c>
      <c r="C175" s="100" t="s">
        <v>3167</v>
      </c>
      <c r="D175" s="104"/>
      <c r="E175" s="99">
        <v>500000</v>
      </c>
      <c r="F175" s="104"/>
      <c r="G175" s="104">
        <v>144183145</v>
      </c>
    </row>
    <row r="176" spans="1:7" x14ac:dyDescent="0.25">
      <c r="A176" s="97" t="s">
        <v>3167</v>
      </c>
      <c r="B176" s="97" t="s">
        <v>3183</v>
      </c>
      <c r="C176" s="97" t="s">
        <v>3167</v>
      </c>
      <c r="D176" s="101"/>
      <c r="E176" s="96">
        <v>2500000</v>
      </c>
      <c r="F176" s="101"/>
      <c r="G176" s="101">
        <v>141175233</v>
      </c>
    </row>
    <row r="177" spans="1:7" x14ac:dyDescent="0.25">
      <c r="A177" s="100" t="s">
        <v>3167</v>
      </c>
      <c r="B177" s="100" t="s">
        <v>3184</v>
      </c>
      <c r="C177" s="100" t="s">
        <v>3167</v>
      </c>
      <c r="D177" s="104"/>
      <c r="E177" s="99">
        <v>400000</v>
      </c>
      <c r="F177" s="104"/>
      <c r="G177" s="104">
        <v>141175233</v>
      </c>
    </row>
    <row r="178" spans="1:7" x14ac:dyDescent="0.25">
      <c r="A178" s="97" t="s">
        <v>3167</v>
      </c>
      <c r="B178" s="97" t="s">
        <v>3185</v>
      </c>
      <c r="C178" s="97" t="s">
        <v>3167</v>
      </c>
      <c r="D178" s="96">
        <v>20000</v>
      </c>
      <c r="E178" s="101"/>
      <c r="F178" s="101"/>
      <c r="G178" s="101">
        <v>6140351</v>
      </c>
    </row>
    <row r="179" spans="1:7" x14ac:dyDescent="0.25">
      <c r="A179" s="100" t="s">
        <v>3167</v>
      </c>
      <c r="B179" s="100" t="s">
        <v>2945</v>
      </c>
      <c r="C179" s="100"/>
      <c r="D179" s="104"/>
      <c r="E179" s="104"/>
      <c r="F179" s="99">
        <v>4557067.49</v>
      </c>
      <c r="G179" s="104"/>
    </row>
    <row r="180" spans="1:7" x14ac:dyDescent="0.25">
      <c r="A180" s="97" t="s">
        <v>3186</v>
      </c>
      <c r="B180" s="97" t="s">
        <v>3187</v>
      </c>
      <c r="C180" s="97" t="s">
        <v>3186</v>
      </c>
      <c r="D180" s="96">
        <v>2000000</v>
      </c>
      <c r="E180" s="101"/>
      <c r="F180" s="101"/>
      <c r="G180" s="101" t="s">
        <v>3188</v>
      </c>
    </row>
    <row r="181" spans="1:7" x14ac:dyDescent="0.25">
      <c r="A181" s="100" t="s">
        <v>3186</v>
      </c>
      <c r="B181" s="100" t="s">
        <v>3189</v>
      </c>
      <c r="C181" s="100" t="s">
        <v>3186</v>
      </c>
      <c r="D181" s="104"/>
      <c r="E181" s="99">
        <v>25480</v>
      </c>
      <c r="F181" s="104"/>
      <c r="G181" s="104" t="s">
        <v>3190</v>
      </c>
    </row>
    <row r="182" spans="1:7" x14ac:dyDescent="0.25">
      <c r="A182" s="97" t="s">
        <v>3186</v>
      </c>
      <c r="B182" s="97" t="s">
        <v>3191</v>
      </c>
      <c r="C182" s="97" t="s">
        <v>3186</v>
      </c>
      <c r="D182" s="101"/>
      <c r="E182" s="96">
        <v>62735</v>
      </c>
      <c r="F182" s="101"/>
      <c r="G182" s="101" t="s">
        <v>3192</v>
      </c>
    </row>
    <row r="183" spans="1:7" x14ac:dyDescent="0.25">
      <c r="A183" s="100" t="s">
        <v>3186</v>
      </c>
      <c r="B183" s="100" t="s">
        <v>3193</v>
      </c>
      <c r="C183" s="100" t="s">
        <v>3186</v>
      </c>
      <c r="D183" s="99">
        <v>4300020</v>
      </c>
      <c r="E183" s="104"/>
      <c r="F183" s="104"/>
      <c r="G183" s="104" t="s">
        <v>3194</v>
      </c>
    </row>
    <row r="184" spans="1:7" x14ac:dyDescent="0.25">
      <c r="A184" s="97" t="s">
        <v>3186</v>
      </c>
      <c r="B184" s="97" t="s">
        <v>3045</v>
      </c>
      <c r="C184" s="97" t="s">
        <v>3186</v>
      </c>
      <c r="D184" s="101"/>
      <c r="E184" s="96">
        <v>108930</v>
      </c>
      <c r="F184" s="101"/>
      <c r="G184" s="101">
        <v>141181014</v>
      </c>
    </row>
    <row r="185" spans="1:7" x14ac:dyDescent="0.25">
      <c r="A185" s="100" t="s">
        <v>3186</v>
      </c>
      <c r="B185" s="100" t="s">
        <v>3177</v>
      </c>
      <c r="C185" s="100" t="s">
        <v>3186</v>
      </c>
      <c r="D185" s="104"/>
      <c r="E185" s="99">
        <v>200000</v>
      </c>
      <c r="F185" s="104"/>
      <c r="G185" s="104">
        <v>141181014</v>
      </c>
    </row>
    <row r="186" spans="1:7" x14ac:dyDescent="0.25">
      <c r="A186" s="97" t="s">
        <v>3186</v>
      </c>
      <c r="B186" s="97" t="s">
        <v>2997</v>
      </c>
      <c r="C186" s="97" t="s">
        <v>3186</v>
      </c>
      <c r="D186" s="101">
        <v>16.95</v>
      </c>
      <c r="E186" s="101"/>
      <c r="F186" s="101"/>
      <c r="G186" s="101">
        <v>141181022</v>
      </c>
    </row>
    <row r="187" spans="1:7" x14ac:dyDescent="0.25">
      <c r="A187" s="100" t="s">
        <v>3186</v>
      </c>
      <c r="B187" s="100" t="s">
        <v>3195</v>
      </c>
      <c r="C187" s="100" t="s">
        <v>3186</v>
      </c>
      <c r="D187" s="104"/>
      <c r="E187" s="99">
        <v>2500000</v>
      </c>
      <c r="F187" s="104"/>
      <c r="G187" s="104">
        <v>300155943</v>
      </c>
    </row>
    <row r="188" spans="1:7" x14ac:dyDescent="0.25">
      <c r="A188" s="97" t="s">
        <v>3186</v>
      </c>
      <c r="B188" s="97" t="s">
        <v>3196</v>
      </c>
      <c r="C188" s="97" t="s">
        <v>3186</v>
      </c>
      <c r="D188" s="96">
        <v>31250</v>
      </c>
      <c r="E188" s="101"/>
      <c r="F188" s="101"/>
      <c r="G188" s="101">
        <v>300155934</v>
      </c>
    </row>
    <row r="189" spans="1:7" x14ac:dyDescent="0.25">
      <c r="A189" s="100" t="s">
        <v>3186</v>
      </c>
      <c r="B189" s="100" t="s">
        <v>2945</v>
      </c>
      <c r="C189" s="100"/>
      <c r="D189" s="104"/>
      <c r="E189" s="104"/>
      <c r="F189" s="99">
        <v>1122925.54</v>
      </c>
      <c r="G189" s="104"/>
    </row>
    <row r="190" spans="1:7" x14ac:dyDescent="0.25">
      <c r="A190" s="97" t="s">
        <v>3197</v>
      </c>
      <c r="B190" s="97" t="s">
        <v>3198</v>
      </c>
      <c r="C190" s="97" t="s">
        <v>3197</v>
      </c>
      <c r="D190" s="101"/>
      <c r="E190" s="96">
        <v>5965</v>
      </c>
      <c r="F190" s="101"/>
      <c r="G190" s="101" t="s">
        <v>3199</v>
      </c>
    </row>
    <row r="191" spans="1:7" x14ac:dyDescent="0.25">
      <c r="A191" s="100" t="s">
        <v>3197</v>
      </c>
      <c r="B191" s="100" t="s">
        <v>3200</v>
      </c>
      <c r="C191" s="100" t="s">
        <v>3197</v>
      </c>
      <c r="D191" s="104"/>
      <c r="E191" s="99">
        <v>24035</v>
      </c>
      <c r="F191" s="104"/>
      <c r="G191" s="104" t="s">
        <v>3201</v>
      </c>
    </row>
    <row r="192" spans="1:7" x14ac:dyDescent="0.25">
      <c r="A192" s="97" t="s">
        <v>3197</v>
      </c>
      <c r="B192" s="97" t="s">
        <v>2945</v>
      </c>
      <c r="C192" s="97"/>
      <c r="D192" s="101"/>
      <c r="E192" s="101"/>
      <c r="F192" s="96">
        <v>1152925.54</v>
      </c>
      <c r="G192" s="101"/>
    </row>
    <row r="193" spans="1:7" x14ac:dyDescent="0.25">
      <c r="A193" s="100" t="s">
        <v>3202</v>
      </c>
      <c r="B193" s="100" t="s">
        <v>3203</v>
      </c>
      <c r="C193" s="100" t="s">
        <v>3202</v>
      </c>
      <c r="D193" s="104"/>
      <c r="E193" s="99">
        <v>3975</v>
      </c>
      <c r="F193" s="104"/>
      <c r="G193" s="104" t="s">
        <v>3204</v>
      </c>
    </row>
    <row r="194" spans="1:7" x14ac:dyDescent="0.25">
      <c r="A194" s="97" t="s">
        <v>3202</v>
      </c>
      <c r="B194" s="97" t="s">
        <v>3205</v>
      </c>
      <c r="C194" s="97" t="s">
        <v>3202</v>
      </c>
      <c r="D194" s="101"/>
      <c r="E194" s="96">
        <v>10980</v>
      </c>
      <c r="F194" s="101"/>
      <c r="G194" s="101" t="s">
        <v>3206</v>
      </c>
    </row>
    <row r="195" spans="1:7" x14ac:dyDescent="0.25">
      <c r="A195" s="100" t="s">
        <v>3202</v>
      </c>
      <c r="B195" s="100" t="s">
        <v>3207</v>
      </c>
      <c r="C195" s="100" t="s">
        <v>3202</v>
      </c>
      <c r="D195" s="104"/>
      <c r="E195" s="99">
        <v>18600</v>
      </c>
      <c r="F195" s="104"/>
      <c r="G195" s="104" t="s">
        <v>3208</v>
      </c>
    </row>
    <row r="196" spans="1:7" x14ac:dyDescent="0.25">
      <c r="A196" s="97" t="s">
        <v>3202</v>
      </c>
      <c r="B196" s="97" t="s">
        <v>3209</v>
      </c>
      <c r="C196" s="97" t="s">
        <v>3202</v>
      </c>
      <c r="D196" s="101"/>
      <c r="E196" s="96">
        <v>250000</v>
      </c>
      <c r="F196" s="101"/>
      <c r="G196" s="101">
        <v>141173114</v>
      </c>
    </row>
    <row r="197" spans="1:7" x14ac:dyDescent="0.25">
      <c r="A197" s="100" t="s">
        <v>3202</v>
      </c>
      <c r="B197" s="100" t="s">
        <v>2997</v>
      </c>
      <c r="C197" s="100" t="s">
        <v>3202</v>
      </c>
      <c r="D197" s="104">
        <v>16.95</v>
      </c>
      <c r="E197" s="104"/>
      <c r="F197" s="104"/>
      <c r="G197" s="104">
        <v>141173123</v>
      </c>
    </row>
    <row r="198" spans="1:7" x14ac:dyDescent="0.25">
      <c r="A198" s="97" t="s">
        <v>3202</v>
      </c>
      <c r="B198" s="97" t="s">
        <v>3210</v>
      </c>
      <c r="C198" s="97" t="s">
        <v>3202</v>
      </c>
      <c r="D198" s="96">
        <v>423275.79</v>
      </c>
      <c r="E198" s="101"/>
      <c r="F198" s="101"/>
      <c r="G198" s="101">
        <v>502155857</v>
      </c>
    </row>
    <row r="199" spans="1:7" x14ac:dyDescent="0.25">
      <c r="A199" s="100" t="s">
        <v>3202</v>
      </c>
      <c r="B199" s="100" t="s">
        <v>3211</v>
      </c>
      <c r="C199" s="100" t="s">
        <v>3202</v>
      </c>
      <c r="D199" s="99">
        <v>55750</v>
      </c>
      <c r="E199" s="104"/>
      <c r="F199" s="104"/>
      <c r="G199" s="104">
        <v>502155558</v>
      </c>
    </row>
    <row r="200" spans="1:7" x14ac:dyDescent="0.25">
      <c r="A200" s="97" t="s">
        <v>3202</v>
      </c>
      <c r="B200" s="97" t="s">
        <v>2945</v>
      </c>
      <c r="C200" s="97"/>
      <c r="D200" s="101"/>
      <c r="E200" s="101"/>
      <c r="F200" s="96">
        <v>957437.8</v>
      </c>
      <c r="G200" s="101"/>
    </row>
    <row r="201" spans="1:7" x14ac:dyDescent="0.25">
      <c r="A201" s="100" t="s">
        <v>3212</v>
      </c>
      <c r="B201" s="100" t="s">
        <v>3213</v>
      </c>
      <c r="C201" s="100" t="s">
        <v>3212</v>
      </c>
      <c r="D201" s="104"/>
      <c r="E201" s="99">
        <v>8355</v>
      </c>
      <c r="F201" s="104"/>
      <c r="G201" s="104" t="s">
        <v>3214</v>
      </c>
    </row>
    <row r="202" spans="1:7" x14ac:dyDescent="0.25">
      <c r="A202" s="97" t="s">
        <v>3212</v>
      </c>
      <c r="B202" s="97" t="s">
        <v>2945</v>
      </c>
      <c r="C202" s="97"/>
      <c r="D202" s="101"/>
      <c r="E202" s="101"/>
      <c r="F202" s="96">
        <v>965792.8</v>
      </c>
      <c r="G202" s="101"/>
    </row>
    <row r="203" spans="1:7" x14ac:dyDescent="0.25">
      <c r="A203" s="100" t="s">
        <v>3215</v>
      </c>
      <c r="B203" s="100" t="s">
        <v>3216</v>
      </c>
      <c r="C203" s="100" t="s">
        <v>3215</v>
      </c>
      <c r="D203" s="104"/>
      <c r="E203" s="99">
        <v>47550</v>
      </c>
      <c r="F203" s="104"/>
      <c r="G203" s="104" t="s">
        <v>3217</v>
      </c>
    </row>
    <row r="204" spans="1:7" x14ac:dyDescent="0.25">
      <c r="A204" s="97" t="s">
        <v>3215</v>
      </c>
      <c r="B204" s="97" t="s">
        <v>3218</v>
      </c>
      <c r="C204" s="97" t="s">
        <v>3215</v>
      </c>
      <c r="D204" s="101"/>
      <c r="E204" s="96">
        <v>2820</v>
      </c>
      <c r="F204" s="101"/>
      <c r="G204" s="101" t="s">
        <v>3219</v>
      </c>
    </row>
    <row r="205" spans="1:7" x14ac:dyDescent="0.25">
      <c r="A205" s="100" t="s">
        <v>3215</v>
      </c>
      <c r="B205" s="100" t="s">
        <v>3220</v>
      </c>
      <c r="C205" s="100" t="s">
        <v>3215</v>
      </c>
      <c r="D205" s="104"/>
      <c r="E205" s="99">
        <v>1025</v>
      </c>
      <c r="F205" s="104"/>
      <c r="G205" s="104" t="s">
        <v>3221</v>
      </c>
    </row>
    <row r="206" spans="1:7" x14ac:dyDescent="0.25">
      <c r="A206" s="97" t="s">
        <v>3215</v>
      </c>
      <c r="B206" s="97" t="s">
        <v>2945</v>
      </c>
      <c r="C206" s="97"/>
      <c r="D206" s="101"/>
      <c r="E206" s="101"/>
      <c r="F206" s="96">
        <v>1017187.8</v>
      </c>
      <c r="G206" s="101"/>
    </row>
    <row r="207" spans="1:7" x14ac:dyDescent="0.25">
      <c r="A207" s="100" t="s">
        <v>3222</v>
      </c>
      <c r="B207" s="100" t="s">
        <v>3223</v>
      </c>
      <c r="C207" s="100" t="s">
        <v>3222</v>
      </c>
      <c r="D207" s="104"/>
      <c r="E207" s="99">
        <v>1250</v>
      </c>
      <c r="F207" s="104"/>
      <c r="G207" s="104" t="s">
        <v>3224</v>
      </c>
    </row>
    <row r="208" spans="1:7" x14ac:dyDescent="0.25">
      <c r="A208" s="97" t="s">
        <v>3222</v>
      </c>
      <c r="B208" s="97" t="s">
        <v>3225</v>
      </c>
      <c r="C208" s="97" t="s">
        <v>3222</v>
      </c>
      <c r="D208" s="101"/>
      <c r="E208" s="96">
        <v>26710</v>
      </c>
      <c r="F208" s="101"/>
      <c r="G208" s="101" t="s">
        <v>3226</v>
      </c>
    </row>
    <row r="209" spans="1:7" x14ac:dyDescent="0.25">
      <c r="A209" s="100" t="s">
        <v>3222</v>
      </c>
      <c r="B209" s="100" t="s">
        <v>2945</v>
      </c>
      <c r="C209" s="100"/>
      <c r="D209" s="104"/>
      <c r="E209" s="104"/>
      <c r="F209" s="99">
        <v>1045147.8</v>
      </c>
      <c r="G209" s="104"/>
    </row>
    <row r="210" spans="1:7" x14ac:dyDescent="0.25">
      <c r="A210" s="97" t="s">
        <v>3227</v>
      </c>
      <c r="B210" s="97" t="s">
        <v>3228</v>
      </c>
      <c r="C210" s="97" t="s">
        <v>3227</v>
      </c>
      <c r="D210" s="101"/>
      <c r="E210" s="96">
        <v>49160</v>
      </c>
      <c r="F210" s="101"/>
      <c r="G210" s="101" t="s">
        <v>3229</v>
      </c>
    </row>
    <row r="211" spans="1:7" x14ac:dyDescent="0.25">
      <c r="A211" s="100" t="s">
        <v>3227</v>
      </c>
      <c r="B211" s="100" t="s">
        <v>3230</v>
      </c>
      <c r="C211" s="100" t="s">
        <v>3227</v>
      </c>
      <c r="D211" s="104"/>
      <c r="E211" s="99">
        <v>3640</v>
      </c>
      <c r="F211" s="104"/>
      <c r="G211" s="104" t="s">
        <v>3231</v>
      </c>
    </row>
    <row r="212" spans="1:7" x14ac:dyDescent="0.25">
      <c r="A212" s="97" t="s">
        <v>3227</v>
      </c>
      <c r="B212" s="97" t="s">
        <v>3232</v>
      </c>
      <c r="C212" s="97" t="s">
        <v>3227</v>
      </c>
      <c r="D212" s="101"/>
      <c r="E212" s="96">
        <v>56895</v>
      </c>
      <c r="F212" s="101"/>
      <c r="G212" s="101" t="s">
        <v>3233</v>
      </c>
    </row>
    <row r="213" spans="1:7" x14ac:dyDescent="0.25">
      <c r="A213" s="100" t="s">
        <v>3227</v>
      </c>
      <c r="B213" s="100" t="s">
        <v>3234</v>
      </c>
      <c r="C213" s="100" t="s">
        <v>3227</v>
      </c>
      <c r="D213" s="104"/>
      <c r="E213" s="99">
        <v>20000</v>
      </c>
      <c r="F213" s="104"/>
      <c r="G213" s="104" t="s">
        <v>3235</v>
      </c>
    </row>
    <row r="214" spans="1:7" x14ac:dyDescent="0.25">
      <c r="A214" s="97" t="s">
        <v>3227</v>
      </c>
      <c r="B214" s="97" t="s">
        <v>2945</v>
      </c>
      <c r="C214" s="97"/>
      <c r="D214" s="101"/>
      <c r="E214" s="101"/>
      <c r="F214" s="96">
        <v>1174842.8</v>
      </c>
      <c r="G214" s="101"/>
    </row>
    <row r="215" spans="1:7" x14ac:dyDescent="0.25">
      <c r="A215" s="100" t="s">
        <v>3236</v>
      </c>
      <c r="B215" s="100" t="s">
        <v>3237</v>
      </c>
      <c r="C215" s="100" t="s">
        <v>3236</v>
      </c>
      <c r="D215" s="104"/>
      <c r="E215" s="99">
        <v>40170</v>
      </c>
      <c r="F215" s="104"/>
      <c r="G215" s="104" t="s">
        <v>3238</v>
      </c>
    </row>
    <row r="216" spans="1:7" x14ac:dyDescent="0.25">
      <c r="A216" s="97" t="s">
        <v>3236</v>
      </c>
      <c r="B216" s="97" t="s">
        <v>3239</v>
      </c>
      <c r="C216" s="97" t="s">
        <v>3236</v>
      </c>
      <c r="D216" s="101"/>
      <c r="E216" s="96">
        <v>7950</v>
      </c>
      <c r="F216" s="101"/>
      <c r="G216" s="101" t="s">
        <v>3240</v>
      </c>
    </row>
    <row r="217" spans="1:7" x14ac:dyDescent="0.25">
      <c r="A217" s="100" t="s">
        <v>3236</v>
      </c>
      <c r="B217" s="100" t="s">
        <v>3241</v>
      </c>
      <c r="C217" s="100" t="s">
        <v>3236</v>
      </c>
      <c r="D217" s="99">
        <v>500000</v>
      </c>
      <c r="E217" s="104"/>
      <c r="F217" s="104"/>
      <c r="G217" s="104">
        <v>6145051</v>
      </c>
    </row>
    <row r="218" spans="1:7" x14ac:dyDescent="0.25">
      <c r="A218" s="97" t="s">
        <v>3236</v>
      </c>
      <c r="B218" s="97" t="s">
        <v>3242</v>
      </c>
      <c r="C218" s="97" t="s">
        <v>3236</v>
      </c>
      <c r="D218" s="101"/>
      <c r="E218" s="96">
        <v>62000</v>
      </c>
      <c r="F218" s="101"/>
      <c r="G218" s="101">
        <v>141173748</v>
      </c>
    </row>
    <row r="219" spans="1:7" x14ac:dyDescent="0.25">
      <c r="A219" s="100" t="s">
        <v>3236</v>
      </c>
      <c r="B219" s="100" t="s">
        <v>3243</v>
      </c>
      <c r="C219" s="100" t="s">
        <v>3236</v>
      </c>
      <c r="D219" s="99">
        <v>109807</v>
      </c>
      <c r="E219" s="104"/>
      <c r="F219" s="104"/>
      <c r="G219" s="104">
        <v>144185359</v>
      </c>
    </row>
    <row r="220" spans="1:7" x14ac:dyDescent="0.25">
      <c r="A220" s="97" t="s">
        <v>3236</v>
      </c>
      <c r="B220" s="97" t="s">
        <v>3244</v>
      </c>
      <c r="C220" s="97" t="s">
        <v>3236</v>
      </c>
      <c r="D220" s="101"/>
      <c r="E220" s="96">
        <v>109807</v>
      </c>
      <c r="F220" s="101"/>
      <c r="G220" s="101">
        <v>141173748</v>
      </c>
    </row>
    <row r="221" spans="1:7" x14ac:dyDescent="0.25">
      <c r="A221" s="100" t="s">
        <v>3236</v>
      </c>
      <c r="B221" s="100" t="s">
        <v>3245</v>
      </c>
      <c r="C221" s="100" t="s">
        <v>3236</v>
      </c>
      <c r="D221" s="104"/>
      <c r="E221" s="99">
        <v>26545</v>
      </c>
      <c r="F221" s="104"/>
      <c r="G221" s="104">
        <v>141173748</v>
      </c>
    </row>
    <row r="222" spans="1:7" x14ac:dyDescent="0.25">
      <c r="A222" s="97" t="s">
        <v>3236</v>
      </c>
      <c r="B222" s="97" t="s">
        <v>3246</v>
      </c>
      <c r="C222" s="97" t="s">
        <v>3236</v>
      </c>
      <c r="D222" s="96">
        <v>26545</v>
      </c>
      <c r="E222" s="101"/>
      <c r="F222" s="101"/>
      <c r="G222" s="101">
        <v>141173751</v>
      </c>
    </row>
    <row r="223" spans="1:7" x14ac:dyDescent="0.25">
      <c r="A223" s="100" t="s">
        <v>3236</v>
      </c>
      <c r="B223" s="100" t="s">
        <v>3247</v>
      </c>
      <c r="C223" s="100" t="s">
        <v>3236</v>
      </c>
      <c r="D223" s="104"/>
      <c r="E223" s="99">
        <v>12000</v>
      </c>
      <c r="F223" s="104"/>
      <c r="G223" s="104">
        <v>141173748</v>
      </c>
    </row>
    <row r="224" spans="1:7" x14ac:dyDescent="0.25">
      <c r="A224" s="97" t="s">
        <v>3236</v>
      </c>
      <c r="B224" s="97" t="s">
        <v>3248</v>
      </c>
      <c r="C224" s="97" t="s">
        <v>3236</v>
      </c>
      <c r="D224" s="101"/>
      <c r="E224" s="96">
        <v>100000</v>
      </c>
      <c r="F224" s="101"/>
      <c r="G224" s="101">
        <v>141173748</v>
      </c>
    </row>
    <row r="225" spans="1:7" x14ac:dyDescent="0.25">
      <c r="A225" s="100" t="s">
        <v>3236</v>
      </c>
      <c r="B225" s="100" t="s">
        <v>3249</v>
      </c>
      <c r="C225" s="100" t="s">
        <v>3236</v>
      </c>
      <c r="D225" s="104"/>
      <c r="E225" s="99">
        <v>26523.360000000001</v>
      </c>
      <c r="F225" s="104"/>
      <c r="G225" s="104">
        <v>141173748</v>
      </c>
    </row>
    <row r="226" spans="1:7" x14ac:dyDescent="0.25">
      <c r="A226" s="97" t="s">
        <v>3236</v>
      </c>
      <c r="B226" s="97" t="s">
        <v>3250</v>
      </c>
      <c r="C226" s="97" t="s">
        <v>3236</v>
      </c>
      <c r="D226" s="96">
        <v>50000</v>
      </c>
      <c r="E226" s="101"/>
      <c r="F226" s="101"/>
      <c r="G226" s="101">
        <v>6142139</v>
      </c>
    </row>
    <row r="227" spans="1:7" x14ac:dyDescent="0.25">
      <c r="A227" s="100" t="s">
        <v>3236</v>
      </c>
      <c r="B227" s="100" t="s">
        <v>2945</v>
      </c>
      <c r="C227" s="100"/>
      <c r="D227" s="104"/>
      <c r="E227" s="104"/>
      <c r="F227" s="99">
        <v>873486.16</v>
      </c>
      <c r="G227" s="104"/>
    </row>
    <row r="228" spans="1:7" x14ac:dyDescent="0.25">
      <c r="A228" s="97" t="s">
        <v>3251</v>
      </c>
      <c r="B228" s="97" t="s">
        <v>3252</v>
      </c>
      <c r="C228" s="97" t="s">
        <v>3251</v>
      </c>
      <c r="D228" s="101"/>
      <c r="E228" s="96">
        <v>20500</v>
      </c>
      <c r="F228" s="101"/>
      <c r="G228" s="101" t="s">
        <v>3253</v>
      </c>
    </row>
    <row r="229" spans="1:7" x14ac:dyDescent="0.25">
      <c r="A229" s="100" t="s">
        <v>3251</v>
      </c>
      <c r="B229" s="100" t="s">
        <v>3254</v>
      </c>
      <c r="C229" s="100" t="s">
        <v>3251</v>
      </c>
      <c r="D229" s="104"/>
      <c r="E229" s="99">
        <v>5750</v>
      </c>
      <c r="F229" s="104"/>
      <c r="G229" s="104" t="s">
        <v>3255</v>
      </c>
    </row>
    <row r="230" spans="1:7" x14ac:dyDescent="0.25">
      <c r="A230" s="97" t="s">
        <v>3251</v>
      </c>
      <c r="B230" s="97" t="s">
        <v>3256</v>
      </c>
      <c r="C230" s="97" t="s">
        <v>3251</v>
      </c>
      <c r="D230" s="101"/>
      <c r="E230" s="96">
        <v>5479</v>
      </c>
      <c r="F230" s="101"/>
      <c r="G230" s="101" t="s">
        <v>3257</v>
      </c>
    </row>
    <row r="231" spans="1:7" x14ac:dyDescent="0.25">
      <c r="A231" s="100" t="s">
        <v>3251</v>
      </c>
      <c r="B231" s="100" t="s">
        <v>3258</v>
      </c>
      <c r="C231" s="100" t="s">
        <v>3251</v>
      </c>
      <c r="D231" s="99">
        <v>871486</v>
      </c>
      <c r="E231" s="104"/>
      <c r="F231" s="104"/>
      <c r="G231" s="104">
        <v>300100641</v>
      </c>
    </row>
    <row r="232" spans="1:7" x14ac:dyDescent="0.25">
      <c r="A232" s="97" t="s">
        <v>3251</v>
      </c>
      <c r="B232" s="97" t="s">
        <v>2945</v>
      </c>
      <c r="C232" s="97"/>
      <c r="D232" s="101"/>
      <c r="E232" s="101"/>
      <c r="F232" s="96">
        <v>33729.160000000003</v>
      </c>
      <c r="G232" s="101"/>
    </row>
    <row r="233" spans="1:7" x14ac:dyDescent="0.25">
      <c r="A233" s="100" t="s">
        <v>3259</v>
      </c>
      <c r="B233" s="100" t="s">
        <v>3260</v>
      </c>
      <c r="C233" s="100" t="s">
        <v>3259</v>
      </c>
      <c r="D233" s="104"/>
      <c r="E233" s="99">
        <v>2130</v>
      </c>
      <c r="F233" s="104"/>
      <c r="G233" s="104" t="s">
        <v>3261</v>
      </c>
    </row>
    <row r="234" spans="1:7" x14ac:dyDescent="0.25">
      <c r="A234" s="97" t="s">
        <v>3259</v>
      </c>
      <c r="B234" s="97" t="s">
        <v>3262</v>
      </c>
      <c r="C234" s="97" t="s">
        <v>3259</v>
      </c>
      <c r="D234" s="101"/>
      <c r="E234" s="96">
        <v>19250</v>
      </c>
      <c r="F234" s="101"/>
      <c r="G234" s="101" t="s">
        <v>3263</v>
      </c>
    </row>
    <row r="235" spans="1:7" x14ac:dyDescent="0.25">
      <c r="A235" s="100" t="s">
        <v>3259</v>
      </c>
      <c r="B235" s="100" t="s">
        <v>3264</v>
      </c>
      <c r="C235" s="100" t="s">
        <v>3259</v>
      </c>
      <c r="D235" s="104"/>
      <c r="E235" s="99">
        <v>113005</v>
      </c>
      <c r="F235" s="104"/>
      <c r="G235" s="104" t="s">
        <v>3265</v>
      </c>
    </row>
    <row r="236" spans="1:7" x14ac:dyDescent="0.25">
      <c r="A236" s="97" t="s">
        <v>3259</v>
      </c>
      <c r="B236" s="97" t="s">
        <v>2945</v>
      </c>
      <c r="C236" s="97"/>
      <c r="D236" s="101"/>
      <c r="E236" s="101"/>
      <c r="F236" s="96">
        <v>168114.16</v>
      </c>
      <c r="G236" s="101"/>
    </row>
    <row r="237" spans="1:7" x14ac:dyDescent="0.25">
      <c r="A237" s="100" t="s">
        <v>3266</v>
      </c>
      <c r="B237" s="100" t="s">
        <v>3267</v>
      </c>
      <c r="C237" s="100" t="s">
        <v>3266</v>
      </c>
      <c r="D237" s="104"/>
      <c r="E237" s="99">
        <v>1250</v>
      </c>
      <c r="F237" s="104"/>
      <c r="G237" s="104" t="s">
        <v>3268</v>
      </c>
    </row>
    <row r="238" spans="1:7" x14ac:dyDescent="0.25">
      <c r="A238" s="97" t="s">
        <v>3266</v>
      </c>
      <c r="B238" s="97" t="s">
        <v>3269</v>
      </c>
      <c r="C238" s="97" t="s">
        <v>3266</v>
      </c>
      <c r="D238" s="101"/>
      <c r="E238" s="96">
        <v>20605</v>
      </c>
      <c r="F238" s="101"/>
      <c r="G238" s="101" t="s">
        <v>3270</v>
      </c>
    </row>
    <row r="239" spans="1:7" x14ac:dyDescent="0.25">
      <c r="A239" s="100" t="s">
        <v>3266</v>
      </c>
      <c r="B239" s="100" t="s">
        <v>3271</v>
      </c>
      <c r="C239" s="100" t="s">
        <v>3266</v>
      </c>
      <c r="D239" s="99">
        <v>300000</v>
      </c>
      <c r="E239" s="104"/>
      <c r="F239" s="104"/>
      <c r="G239" s="104" t="s">
        <v>3272</v>
      </c>
    </row>
    <row r="240" spans="1:7" x14ac:dyDescent="0.25">
      <c r="A240" s="97" t="s">
        <v>3266</v>
      </c>
      <c r="B240" s="97" t="s">
        <v>3273</v>
      </c>
      <c r="C240" s="97" t="s">
        <v>3266</v>
      </c>
      <c r="D240" s="96">
        <v>82087.95</v>
      </c>
      <c r="E240" s="101"/>
      <c r="F240" s="101"/>
      <c r="G240" s="101" t="s">
        <v>3274</v>
      </c>
    </row>
    <row r="241" spans="1:7" x14ac:dyDescent="0.25">
      <c r="A241" s="100" t="s">
        <v>3266</v>
      </c>
      <c r="B241" s="100" t="s">
        <v>3275</v>
      </c>
      <c r="C241" s="100" t="s">
        <v>3266</v>
      </c>
      <c r="D241" s="104"/>
      <c r="E241" s="99">
        <v>550000</v>
      </c>
      <c r="F241" s="104"/>
      <c r="G241" s="104">
        <v>145163714</v>
      </c>
    </row>
    <row r="242" spans="1:7" x14ac:dyDescent="0.25">
      <c r="A242" s="97" t="s">
        <v>3266</v>
      </c>
      <c r="B242" s="97" t="s">
        <v>3276</v>
      </c>
      <c r="C242" s="97" t="s">
        <v>3266</v>
      </c>
      <c r="D242" s="96">
        <v>46600</v>
      </c>
      <c r="E242" s="101"/>
      <c r="F242" s="101"/>
      <c r="G242" s="101">
        <v>6135317</v>
      </c>
    </row>
    <row r="243" spans="1:7" x14ac:dyDescent="0.25">
      <c r="A243" s="100" t="s">
        <v>3266</v>
      </c>
      <c r="B243" s="100" t="s">
        <v>2945</v>
      </c>
      <c r="C243" s="100"/>
      <c r="D243" s="104"/>
      <c r="E243" s="104"/>
      <c r="F243" s="99">
        <v>311281.21000000002</v>
      </c>
      <c r="G243" s="104"/>
    </row>
    <row r="244" spans="1:7" x14ac:dyDescent="0.25">
      <c r="A244" s="97" t="s">
        <v>3277</v>
      </c>
      <c r="B244" s="97" t="s">
        <v>3278</v>
      </c>
      <c r="C244" s="97" t="s">
        <v>3277</v>
      </c>
      <c r="D244" s="101"/>
      <c r="E244" s="96">
        <v>1700</v>
      </c>
      <c r="F244" s="101"/>
      <c r="G244" s="101" t="s">
        <v>3279</v>
      </c>
    </row>
    <row r="245" spans="1:7" x14ac:dyDescent="0.25">
      <c r="A245" s="100" t="s">
        <v>3277</v>
      </c>
      <c r="B245" s="100" t="s">
        <v>3280</v>
      </c>
      <c r="C245" s="100" t="s">
        <v>3277</v>
      </c>
      <c r="D245" s="104"/>
      <c r="E245" s="104">
        <v>500</v>
      </c>
      <c r="F245" s="104"/>
      <c r="G245" s="104" t="s">
        <v>3281</v>
      </c>
    </row>
    <row r="246" spans="1:7" x14ac:dyDescent="0.25">
      <c r="A246" s="97" t="s">
        <v>3277</v>
      </c>
      <c r="B246" s="97" t="s">
        <v>2945</v>
      </c>
      <c r="C246" s="97"/>
      <c r="D246" s="101"/>
      <c r="E246" s="101"/>
      <c r="F246" s="96">
        <v>313481.21000000002</v>
      </c>
      <c r="G246" s="101"/>
    </row>
    <row r="247" spans="1:7" x14ac:dyDescent="0.25">
      <c r="A247" s="100" t="s">
        <v>3282</v>
      </c>
      <c r="B247" s="100" t="s">
        <v>3283</v>
      </c>
      <c r="C247" s="100" t="s">
        <v>3282</v>
      </c>
      <c r="D247" s="104"/>
      <c r="E247" s="99">
        <v>6000</v>
      </c>
      <c r="F247" s="104"/>
      <c r="G247" s="104" t="s">
        <v>3284</v>
      </c>
    </row>
    <row r="248" spans="1:7" x14ac:dyDescent="0.25">
      <c r="A248" s="97" t="s">
        <v>3282</v>
      </c>
      <c r="B248" s="97" t="s">
        <v>3285</v>
      </c>
      <c r="C248" s="97" t="s">
        <v>3282</v>
      </c>
      <c r="D248" s="101"/>
      <c r="E248" s="96">
        <v>22025</v>
      </c>
      <c r="F248" s="101"/>
      <c r="G248" s="101" t="s">
        <v>3286</v>
      </c>
    </row>
    <row r="249" spans="1:7" x14ac:dyDescent="0.25">
      <c r="A249" s="100" t="s">
        <v>3282</v>
      </c>
      <c r="B249" s="100" t="s">
        <v>2945</v>
      </c>
      <c r="C249" s="100"/>
      <c r="D249" s="104"/>
      <c r="E249" s="104"/>
      <c r="F249" s="99">
        <v>341506.21</v>
      </c>
      <c r="G249" s="104"/>
    </row>
    <row r="250" spans="1:7" x14ac:dyDescent="0.25">
      <c r="A250" s="97" t="s">
        <v>3287</v>
      </c>
      <c r="B250" s="97" t="s">
        <v>3288</v>
      </c>
      <c r="C250" s="97" t="s">
        <v>3287</v>
      </c>
      <c r="D250" s="101"/>
      <c r="E250" s="96">
        <v>8925</v>
      </c>
      <c r="F250" s="101"/>
      <c r="G250" s="101" t="s">
        <v>3289</v>
      </c>
    </row>
    <row r="251" spans="1:7" x14ac:dyDescent="0.25">
      <c r="A251" s="100" t="s">
        <v>3287</v>
      </c>
      <c r="B251" s="100" t="s">
        <v>3290</v>
      </c>
      <c r="C251" s="100" t="s">
        <v>3287</v>
      </c>
      <c r="D251" s="104"/>
      <c r="E251" s="99">
        <v>4940</v>
      </c>
      <c r="F251" s="104"/>
      <c r="G251" s="104" t="s">
        <v>3291</v>
      </c>
    </row>
    <row r="252" spans="1:7" x14ac:dyDescent="0.25">
      <c r="A252" s="97" t="s">
        <v>3287</v>
      </c>
      <c r="B252" s="97" t="s">
        <v>3292</v>
      </c>
      <c r="C252" s="97" t="s">
        <v>3287</v>
      </c>
      <c r="D252" s="101"/>
      <c r="E252" s="96">
        <v>13815</v>
      </c>
      <c r="F252" s="101"/>
      <c r="G252" s="101" t="s">
        <v>3293</v>
      </c>
    </row>
    <row r="253" spans="1:7" x14ac:dyDescent="0.25">
      <c r="A253" s="100" t="s">
        <v>3287</v>
      </c>
      <c r="B253" s="100" t="s">
        <v>3294</v>
      </c>
      <c r="C253" s="100" t="s">
        <v>3287</v>
      </c>
      <c r="D253" s="104"/>
      <c r="E253" s="99">
        <v>850000</v>
      </c>
      <c r="F253" s="104"/>
      <c r="G253" s="104">
        <v>144132136</v>
      </c>
    </row>
    <row r="254" spans="1:7" x14ac:dyDescent="0.25">
      <c r="A254" s="97" t="s">
        <v>3287</v>
      </c>
      <c r="B254" s="97" t="s">
        <v>3295</v>
      </c>
      <c r="C254" s="97" t="s">
        <v>3287</v>
      </c>
      <c r="D254" s="96">
        <v>15000</v>
      </c>
      <c r="E254" s="101"/>
      <c r="F254" s="101"/>
      <c r="G254" s="101">
        <v>6165335</v>
      </c>
    </row>
    <row r="255" spans="1:7" x14ac:dyDescent="0.25">
      <c r="A255" s="100" t="s">
        <v>3287</v>
      </c>
      <c r="B255" s="100" t="s">
        <v>3296</v>
      </c>
      <c r="C255" s="100" t="s">
        <v>3287</v>
      </c>
      <c r="D255" s="99">
        <v>576330.74</v>
      </c>
      <c r="E255" s="104"/>
      <c r="F255" s="104"/>
      <c r="G255" s="104">
        <v>141175632</v>
      </c>
    </row>
    <row r="256" spans="1:7" x14ac:dyDescent="0.25">
      <c r="A256" s="97" t="s">
        <v>3287</v>
      </c>
      <c r="B256" s="97" t="s">
        <v>3297</v>
      </c>
      <c r="C256" s="97" t="s">
        <v>3287</v>
      </c>
      <c r="D256" s="96">
        <v>576330.74</v>
      </c>
      <c r="E256" s="101"/>
      <c r="F256" s="101"/>
      <c r="G256" s="101">
        <v>141175614</v>
      </c>
    </row>
    <row r="257" spans="1:7" x14ac:dyDescent="0.25">
      <c r="A257" s="100" t="s">
        <v>3287</v>
      </c>
      <c r="B257" s="100" t="s">
        <v>2945</v>
      </c>
      <c r="C257" s="100"/>
      <c r="D257" s="104"/>
      <c r="E257" s="104"/>
      <c r="F257" s="99">
        <v>51524.73</v>
      </c>
      <c r="G257" s="104"/>
    </row>
    <row r="258" spans="1:7" x14ac:dyDescent="0.25">
      <c r="A258" s="97" t="s">
        <v>3298</v>
      </c>
      <c r="B258" s="97" t="s">
        <v>3299</v>
      </c>
      <c r="C258" s="97" t="s">
        <v>3298</v>
      </c>
      <c r="D258" s="101"/>
      <c r="E258" s="96">
        <v>40120</v>
      </c>
      <c r="F258" s="101"/>
      <c r="G258" s="101" t="s">
        <v>3300</v>
      </c>
    </row>
    <row r="259" spans="1:7" x14ac:dyDescent="0.25">
      <c r="A259" s="100" t="s">
        <v>3298</v>
      </c>
      <c r="B259" s="100" t="s">
        <v>3301</v>
      </c>
      <c r="C259" s="100" t="s">
        <v>3298</v>
      </c>
      <c r="D259" s="104"/>
      <c r="E259" s="99">
        <v>6000</v>
      </c>
      <c r="F259" s="104"/>
      <c r="G259" s="104" t="s">
        <v>3302</v>
      </c>
    </row>
    <row r="260" spans="1:7" x14ac:dyDescent="0.25">
      <c r="A260" s="97" t="s">
        <v>3298</v>
      </c>
      <c r="B260" s="97" t="s">
        <v>3303</v>
      </c>
      <c r="C260" s="97" t="s">
        <v>3298</v>
      </c>
      <c r="D260" s="101"/>
      <c r="E260" s="96">
        <v>57630</v>
      </c>
      <c r="F260" s="101"/>
      <c r="G260" s="101" t="s">
        <v>3304</v>
      </c>
    </row>
    <row r="261" spans="1:7" x14ac:dyDescent="0.25">
      <c r="A261" s="100" t="s">
        <v>3298</v>
      </c>
      <c r="B261" s="100" t="s">
        <v>3305</v>
      </c>
      <c r="C261" s="100" t="s">
        <v>3298</v>
      </c>
      <c r="D261" s="99">
        <v>700000</v>
      </c>
      <c r="E261" s="104"/>
      <c r="F261" s="104"/>
      <c r="G261" s="104" t="s">
        <v>3306</v>
      </c>
    </row>
    <row r="262" spans="1:7" x14ac:dyDescent="0.25">
      <c r="A262" s="97" t="s">
        <v>3298</v>
      </c>
      <c r="B262" s="97" t="s">
        <v>3307</v>
      </c>
      <c r="C262" s="97" t="s">
        <v>3298</v>
      </c>
      <c r="D262" s="101"/>
      <c r="E262" s="96">
        <v>3800</v>
      </c>
      <c r="F262" s="101"/>
      <c r="G262" s="101">
        <v>141180253</v>
      </c>
    </row>
    <row r="263" spans="1:7" x14ac:dyDescent="0.25">
      <c r="A263" s="100" t="s">
        <v>3298</v>
      </c>
      <c r="B263" s="100" t="s">
        <v>3308</v>
      </c>
      <c r="C263" s="100" t="s">
        <v>3298</v>
      </c>
      <c r="D263" s="104"/>
      <c r="E263" s="99">
        <v>1300</v>
      </c>
      <c r="F263" s="104"/>
      <c r="G263" s="104">
        <v>141180253</v>
      </c>
    </row>
    <row r="264" spans="1:7" x14ac:dyDescent="0.25">
      <c r="A264" s="97" t="s">
        <v>3298</v>
      </c>
      <c r="B264" s="97" t="s">
        <v>2944</v>
      </c>
      <c r="C264" s="97" t="s">
        <v>3298</v>
      </c>
      <c r="D264" s="101"/>
      <c r="E264" s="96">
        <v>500000</v>
      </c>
      <c r="F264" s="101"/>
      <c r="G264" s="101">
        <v>144151750</v>
      </c>
    </row>
    <row r="265" spans="1:7" x14ac:dyDescent="0.25">
      <c r="A265" s="100" t="s">
        <v>3298</v>
      </c>
      <c r="B265" s="100" t="s">
        <v>2944</v>
      </c>
      <c r="C265" s="100" t="s">
        <v>3298</v>
      </c>
      <c r="D265" s="104"/>
      <c r="E265" s="99">
        <v>140000</v>
      </c>
      <c r="F265" s="104"/>
      <c r="G265" s="104">
        <v>144151802</v>
      </c>
    </row>
    <row r="266" spans="1:7" x14ac:dyDescent="0.25">
      <c r="A266" s="97" t="s">
        <v>3298</v>
      </c>
      <c r="B266" s="97" t="s">
        <v>2945</v>
      </c>
      <c r="C266" s="97"/>
      <c r="D266" s="101"/>
      <c r="E266" s="101"/>
      <c r="F266" s="96">
        <v>100374.73</v>
      </c>
      <c r="G266" s="101"/>
    </row>
    <row r="267" spans="1:7" x14ac:dyDescent="0.25">
      <c r="A267" s="98">
        <v>45301</v>
      </c>
      <c r="B267" s="100" t="s">
        <v>3309</v>
      </c>
      <c r="C267" s="98">
        <v>45301</v>
      </c>
      <c r="D267" s="104"/>
      <c r="E267" s="99">
        <v>6070</v>
      </c>
      <c r="F267" s="104"/>
      <c r="G267" s="104" t="s">
        <v>3310</v>
      </c>
    </row>
    <row r="268" spans="1:7" x14ac:dyDescent="0.25">
      <c r="A268" s="95">
        <v>45301</v>
      </c>
      <c r="B268" s="97" t="s">
        <v>3311</v>
      </c>
      <c r="C268" s="95">
        <v>45301</v>
      </c>
      <c r="D268" s="101"/>
      <c r="E268" s="96">
        <v>33169</v>
      </c>
      <c r="F268" s="101"/>
      <c r="G268" s="101" t="s">
        <v>3312</v>
      </c>
    </row>
    <row r="269" spans="1:7" x14ac:dyDescent="0.25">
      <c r="A269" s="98">
        <v>45301</v>
      </c>
      <c r="B269" s="100" t="s">
        <v>3245</v>
      </c>
      <c r="C269" s="98">
        <v>45301</v>
      </c>
      <c r="D269" s="104"/>
      <c r="E269" s="99">
        <v>26545</v>
      </c>
      <c r="F269" s="104"/>
      <c r="G269" s="104">
        <v>141180506</v>
      </c>
    </row>
    <row r="270" spans="1:7" x14ac:dyDescent="0.25">
      <c r="A270" s="95">
        <v>45301</v>
      </c>
      <c r="B270" s="97" t="s">
        <v>3246</v>
      </c>
      <c r="C270" s="95">
        <v>45301</v>
      </c>
      <c r="D270" s="96">
        <v>26545</v>
      </c>
      <c r="E270" s="101"/>
      <c r="F270" s="101"/>
      <c r="G270" s="101">
        <v>141180511</v>
      </c>
    </row>
    <row r="271" spans="1:7" x14ac:dyDescent="0.25">
      <c r="A271" s="98">
        <v>45301</v>
      </c>
      <c r="B271" s="100" t="s">
        <v>2945</v>
      </c>
      <c r="C271" s="100"/>
      <c r="D271" s="104"/>
      <c r="E271" s="104"/>
      <c r="F271" s="99">
        <v>139613.73000000001</v>
      </c>
      <c r="G271" s="104"/>
    </row>
    <row r="272" spans="1:7" x14ac:dyDescent="0.25">
      <c r="A272" s="95">
        <v>45332</v>
      </c>
      <c r="B272" s="97" t="s">
        <v>3313</v>
      </c>
      <c r="C272" s="95">
        <v>45332</v>
      </c>
      <c r="D272" s="101"/>
      <c r="E272" s="96">
        <v>30300</v>
      </c>
      <c r="F272" s="101"/>
      <c r="G272" s="101" t="s">
        <v>3314</v>
      </c>
    </row>
    <row r="273" spans="1:7" x14ac:dyDescent="0.25">
      <c r="A273" s="98">
        <v>45332</v>
      </c>
      <c r="B273" s="100" t="s">
        <v>3315</v>
      </c>
      <c r="C273" s="98">
        <v>45332</v>
      </c>
      <c r="D273" s="104"/>
      <c r="E273" s="99">
        <v>3550</v>
      </c>
      <c r="F273" s="104"/>
      <c r="G273" s="104" t="s">
        <v>3316</v>
      </c>
    </row>
    <row r="274" spans="1:7" x14ac:dyDescent="0.25">
      <c r="A274" s="95">
        <v>45332</v>
      </c>
      <c r="B274" s="97" t="s">
        <v>3317</v>
      </c>
      <c r="C274" s="95">
        <v>45332</v>
      </c>
      <c r="D274" s="101"/>
      <c r="E274" s="96">
        <v>54060</v>
      </c>
      <c r="F274" s="101"/>
      <c r="G274" s="101" t="s">
        <v>3318</v>
      </c>
    </row>
    <row r="275" spans="1:7" x14ac:dyDescent="0.25">
      <c r="A275" s="98">
        <v>45332</v>
      </c>
      <c r="B275" s="100" t="s">
        <v>3319</v>
      </c>
      <c r="C275" s="98">
        <v>45332</v>
      </c>
      <c r="D275" s="99">
        <v>600000</v>
      </c>
      <c r="E275" s="104"/>
      <c r="F275" s="104"/>
      <c r="G275" s="104" t="s">
        <v>3320</v>
      </c>
    </row>
    <row r="276" spans="1:7" x14ac:dyDescent="0.25">
      <c r="A276" s="95">
        <v>45332</v>
      </c>
      <c r="B276" s="97" t="s">
        <v>3321</v>
      </c>
      <c r="C276" s="95">
        <v>45332</v>
      </c>
      <c r="D276" s="101"/>
      <c r="E276" s="96">
        <v>7800</v>
      </c>
      <c r="F276" s="101"/>
      <c r="G276" s="101" t="s">
        <v>3322</v>
      </c>
    </row>
    <row r="277" spans="1:7" x14ac:dyDescent="0.25">
      <c r="A277" s="98">
        <v>45332</v>
      </c>
      <c r="B277" s="100" t="s">
        <v>2944</v>
      </c>
      <c r="C277" s="98">
        <v>45332</v>
      </c>
      <c r="D277" s="104"/>
      <c r="E277" s="99">
        <v>600000</v>
      </c>
      <c r="F277" s="104"/>
      <c r="G277" s="104">
        <v>144161805</v>
      </c>
    </row>
    <row r="278" spans="1:7" x14ac:dyDescent="0.25">
      <c r="A278" s="95">
        <v>45332</v>
      </c>
      <c r="B278" s="97" t="s">
        <v>2945</v>
      </c>
      <c r="C278" s="97"/>
      <c r="D278" s="101"/>
      <c r="E278" s="101"/>
      <c r="F278" s="96">
        <v>235323.73</v>
      </c>
      <c r="G278" s="101"/>
    </row>
    <row r="279" spans="1:7" x14ac:dyDescent="0.25">
      <c r="A279" s="98">
        <v>45361</v>
      </c>
      <c r="B279" s="100" t="s">
        <v>3323</v>
      </c>
      <c r="C279" s="98">
        <v>45361</v>
      </c>
      <c r="D279" s="104"/>
      <c r="E279" s="99">
        <v>6420</v>
      </c>
      <c r="F279" s="104"/>
      <c r="G279" s="104" t="s">
        <v>3324</v>
      </c>
    </row>
    <row r="280" spans="1:7" x14ac:dyDescent="0.25">
      <c r="A280" s="95">
        <v>45361</v>
      </c>
      <c r="B280" s="97" t="s">
        <v>2945</v>
      </c>
      <c r="C280" s="97"/>
      <c r="D280" s="101"/>
      <c r="E280" s="101"/>
      <c r="F280" s="96">
        <v>241743.73</v>
      </c>
      <c r="G280" s="101"/>
    </row>
    <row r="281" spans="1:7" x14ac:dyDescent="0.25">
      <c r="A281" s="98">
        <v>45392</v>
      </c>
      <c r="B281" s="100" t="s">
        <v>3325</v>
      </c>
      <c r="C281" s="98">
        <v>45392</v>
      </c>
      <c r="D281" s="104"/>
      <c r="E281" s="99">
        <v>60000</v>
      </c>
      <c r="F281" s="104"/>
      <c r="G281" s="104" t="s">
        <v>3326</v>
      </c>
    </row>
    <row r="282" spans="1:7" x14ac:dyDescent="0.25">
      <c r="A282" s="95">
        <v>45392</v>
      </c>
      <c r="B282" s="97" t="s">
        <v>3327</v>
      </c>
      <c r="C282" s="95">
        <v>45392</v>
      </c>
      <c r="D282" s="101"/>
      <c r="E282" s="96">
        <v>14695</v>
      </c>
      <c r="F282" s="101"/>
      <c r="G282" s="101" t="s">
        <v>3328</v>
      </c>
    </row>
    <row r="283" spans="1:7" x14ac:dyDescent="0.25">
      <c r="A283" s="98">
        <v>45392</v>
      </c>
      <c r="B283" s="100" t="s">
        <v>3329</v>
      </c>
      <c r="C283" s="98">
        <v>45392</v>
      </c>
      <c r="D283" s="104"/>
      <c r="E283" s="99">
        <v>21250</v>
      </c>
      <c r="F283" s="104"/>
      <c r="G283" s="104" t="s">
        <v>3330</v>
      </c>
    </row>
    <row r="284" spans="1:7" x14ac:dyDescent="0.25">
      <c r="A284" s="95">
        <v>45392</v>
      </c>
      <c r="B284" s="97" t="s">
        <v>3331</v>
      </c>
      <c r="C284" s="95">
        <v>45392</v>
      </c>
      <c r="D284" s="101"/>
      <c r="E284" s="96">
        <v>2785</v>
      </c>
      <c r="F284" s="101"/>
      <c r="G284" s="101" t="s">
        <v>3332</v>
      </c>
    </row>
    <row r="285" spans="1:7" x14ac:dyDescent="0.25">
      <c r="A285" s="98">
        <v>45392</v>
      </c>
      <c r="B285" s="100" t="s">
        <v>3333</v>
      </c>
      <c r="C285" s="98">
        <v>45392</v>
      </c>
      <c r="D285" s="99">
        <v>26545</v>
      </c>
      <c r="E285" s="104"/>
      <c r="F285" s="104"/>
      <c r="G285" s="104">
        <v>144160219</v>
      </c>
    </row>
    <row r="286" spans="1:7" x14ac:dyDescent="0.25">
      <c r="A286" s="95">
        <v>45392</v>
      </c>
      <c r="B286" s="97" t="s">
        <v>3334</v>
      </c>
      <c r="C286" s="95">
        <v>45392</v>
      </c>
      <c r="D286" s="101"/>
      <c r="E286" s="96">
        <v>26545</v>
      </c>
      <c r="F286" s="101"/>
      <c r="G286" s="101">
        <v>144160215</v>
      </c>
    </row>
    <row r="287" spans="1:7" x14ac:dyDescent="0.25">
      <c r="A287" s="98">
        <v>45392</v>
      </c>
      <c r="B287" s="100" t="s">
        <v>2945</v>
      </c>
      <c r="C287" s="100"/>
      <c r="D287" s="104"/>
      <c r="E287" s="104"/>
      <c r="F287" s="99">
        <v>340473.73</v>
      </c>
      <c r="G287" s="104"/>
    </row>
    <row r="288" spans="1:7" x14ac:dyDescent="0.25">
      <c r="A288" s="95">
        <v>45422</v>
      </c>
      <c r="B288" s="97" t="s">
        <v>3335</v>
      </c>
      <c r="C288" s="95">
        <v>45422</v>
      </c>
      <c r="D288" s="101"/>
      <c r="E288" s="96">
        <v>8575</v>
      </c>
      <c r="F288" s="101"/>
      <c r="G288" s="101" t="s">
        <v>3336</v>
      </c>
    </row>
    <row r="289" spans="1:7" x14ac:dyDescent="0.25">
      <c r="A289" s="98">
        <v>45422</v>
      </c>
      <c r="B289" s="100" t="s">
        <v>3337</v>
      </c>
      <c r="C289" s="98">
        <v>45422</v>
      </c>
      <c r="D289" s="104"/>
      <c r="E289" s="99">
        <v>4070</v>
      </c>
      <c r="F289" s="104"/>
      <c r="G289" s="104" t="s">
        <v>3338</v>
      </c>
    </row>
    <row r="290" spans="1:7" x14ac:dyDescent="0.25">
      <c r="A290" s="95">
        <v>45422</v>
      </c>
      <c r="B290" s="97" t="s">
        <v>3339</v>
      </c>
      <c r="C290" s="95">
        <v>45422</v>
      </c>
      <c r="D290" s="101"/>
      <c r="E290" s="96">
        <v>10000</v>
      </c>
      <c r="F290" s="101"/>
      <c r="G290" s="101" t="s">
        <v>3340</v>
      </c>
    </row>
    <row r="291" spans="1:7" x14ac:dyDescent="0.25">
      <c r="A291" s="98">
        <v>45422</v>
      </c>
      <c r="B291" s="100" t="s">
        <v>2945</v>
      </c>
      <c r="C291" s="100"/>
      <c r="D291" s="104"/>
      <c r="E291" s="104"/>
      <c r="F291" s="99">
        <v>363118.73</v>
      </c>
      <c r="G291" s="104"/>
    </row>
    <row r="292" spans="1:7" x14ac:dyDescent="0.25">
      <c r="A292" s="95">
        <v>45453</v>
      </c>
      <c r="B292" s="97" t="s">
        <v>3341</v>
      </c>
      <c r="C292" s="95">
        <v>45453</v>
      </c>
      <c r="D292" s="101"/>
      <c r="E292" s="96">
        <v>30200</v>
      </c>
      <c r="F292" s="101"/>
      <c r="G292" s="101" t="s">
        <v>3342</v>
      </c>
    </row>
    <row r="293" spans="1:7" x14ac:dyDescent="0.25">
      <c r="A293" s="98">
        <v>45453</v>
      </c>
      <c r="B293" s="100" t="s">
        <v>3343</v>
      </c>
      <c r="C293" s="98">
        <v>45453</v>
      </c>
      <c r="D293" s="104"/>
      <c r="E293" s="99">
        <v>2170</v>
      </c>
      <c r="F293" s="104"/>
      <c r="G293" s="104" t="s">
        <v>3344</v>
      </c>
    </row>
    <row r="294" spans="1:7" x14ac:dyDescent="0.25">
      <c r="A294" s="95">
        <v>45453</v>
      </c>
      <c r="B294" s="97" t="s">
        <v>3345</v>
      </c>
      <c r="C294" s="95">
        <v>45453</v>
      </c>
      <c r="D294" s="101"/>
      <c r="E294" s="96">
        <v>10645</v>
      </c>
      <c r="F294" s="101"/>
      <c r="G294" s="101" t="s">
        <v>3346</v>
      </c>
    </row>
    <row r="295" spans="1:7" x14ac:dyDescent="0.25">
      <c r="A295" s="98">
        <v>45453</v>
      </c>
      <c r="B295" s="100" t="s">
        <v>2944</v>
      </c>
      <c r="C295" s="98">
        <v>45453</v>
      </c>
      <c r="D295" s="104"/>
      <c r="E295" s="99">
        <v>530000</v>
      </c>
      <c r="F295" s="104"/>
      <c r="G295" s="104">
        <v>144151810</v>
      </c>
    </row>
    <row r="296" spans="1:7" x14ac:dyDescent="0.25">
      <c r="A296" s="95">
        <v>45453</v>
      </c>
      <c r="B296" s="97" t="s">
        <v>3347</v>
      </c>
      <c r="C296" s="95">
        <v>45453</v>
      </c>
      <c r="D296" s="96">
        <v>576330.74</v>
      </c>
      <c r="E296" s="101"/>
      <c r="F296" s="101"/>
      <c r="G296" s="101">
        <v>144190747</v>
      </c>
    </row>
    <row r="297" spans="1:7" x14ac:dyDescent="0.25">
      <c r="A297" s="98">
        <v>45453</v>
      </c>
      <c r="B297" s="100" t="s">
        <v>3348</v>
      </c>
      <c r="C297" s="98">
        <v>45453</v>
      </c>
      <c r="D297" s="99">
        <v>100000</v>
      </c>
      <c r="E297" s="104"/>
      <c r="F297" s="104"/>
      <c r="G297" s="104">
        <v>6172631</v>
      </c>
    </row>
    <row r="298" spans="1:7" x14ac:dyDescent="0.25">
      <c r="A298" s="95">
        <v>45453</v>
      </c>
      <c r="B298" s="97" t="s">
        <v>2945</v>
      </c>
      <c r="C298" s="97"/>
      <c r="D298" s="101"/>
      <c r="E298" s="101"/>
      <c r="F298" s="96">
        <v>259802.99</v>
      </c>
      <c r="G298" s="101"/>
    </row>
    <row r="299" spans="1:7" x14ac:dyDescent="0.25">
      <c r="A299" s="98">
        <v>45483</v>
      </c>
      <c r="B299" s="100" t="s">
        <v>3349</v>
      </c>
      <c r="C299" s="98">
        <v>45483</v>
      </c>
      <c r="D299" s="104"/>
      <c r="E299" s="99">
        <v>12285</v>
      </c>
      <c r="F299" s="104"/>
      <c r="G299" s="104" t="s">
        <v>3350</v>
      </c>
    </row>
    <row r="300" spans="1:7" x14ac:dyDescent="0.25">
      <c r="A300" s="95">
        <v>45483</v>
      </c>
      <c r="B300" s="97" t="s">
        <v>3351</v>
      </c>
      <c r="C300" s="95">
        <v>45483</v>
      </c>
      <c r="D300" s="101"/>
      <c r="E300" s="96">
        <v>15175</v>
      </c>
      <c r="F300" s="101"/>
      <c r="G300" s="101" t="s">
        <v>3352</v>
      </c>
    </row>
    <row r="301" spans="1:7" x14ac:dyDescent="0.25">
      <c r="A301" s="98">
        <v>45483</v>
      </c>
      <c r="B301" s="100" t="s">
        <v>3353</v>
      </c>
      <c r="C301" s="98">
        <v>45483</v>
      </c>
      <c r="D301" s="104"/>
      <c r="E301" s="99">
        <v>31880</v>
      </c>
      <c r="F301" s="104"/>
      <c r="G301" s="104" t="s">
        <v>3354</v>
      </c>
    </row>
    <row r="302" spans="1:7" x14ac:dyDescent="0.25">
      <c r="A302" s="95">
        <v>45483</v>
      </c>
      <c r="B302" s="97" t="s">
        <v>3355</v>
      </c>
      <c r="C302" s="95">
        <v>45483</v>
      </c>
      <c r="D302" s="96">
        <v>900000</v>
      </c>
      <c r="E302" s="101"/>
      <c r="F302" s="101"/>
      <c r="G302" s="101" t="s">
        <v>3356</v>
      </c>
    </row>
    <row r="303" spans="1:7" x14ac:dyDescent="0.25">
      <c r="A303" s="98">
        <v>45483</v>
      </c>
      <c r="B303" s="100" t="s">
        <v>3357</v>
      </c>
      <c r="C303" s="98">
        <v>45483</v>
      </c>
      <c r="D303" s="104"/>
      <c r="E303" s="99">
        <v>20172</v>
      </c>
      <c r="F303" s="104"/>
      <c r="G303" s="104">
        <v>144194157</v>
      </c>
    </row>
    <row r="304" spans="1:7" x14ac:dyDescent="0.25">
      <c r="A304" s="95">
        <v>45483</v>
      </c>
      <c r="B304" s="97" t="s">
        <v>2944</v>
      </c>
      <c r="C304" s="95">
        <v>45483</v>
      </c>
      <c r="D304" s="101"/>
      <c r="E304" s="96">
        <v>1200000</v>
      </c>
      <c r="F304" s="101"/>
      <c r="G304" s="101">
        <v>144164555</v>
      </c>
    </row>
    <row r="305" spans="1:7" x14ac:dyDescent="0.25">
      <c r="A305" s="98">
        <v>45483</v>
      </c>
      <c r="B305" s="100" t="s">
        <v>2945</v>
      </c>
      <c r="C305" s="100"/>
      <c r="D305" s="104"/>
      <c r="E305" s="104"/>
      <c r="F305" s="99">
        <v>639314.99</v>
      </c>
      <c r="G305" s="104"/>
    </row>
    <row r="306" spans="1:7" x14ac:dyDescent="0.25">
      <c r="A306" s="120" t="s">
        <v>3358</v>
      </c>
      <c r="B306" s="120"/>
      <c r="C306" s="120"/>
      <c r="D306" s="120"/>
      <c r="E306" s="120"/>
      <c r="F306" s="120"/>
      <c r="G306" s="120"/>
    </row>
    <row r="309" spans="1:7" ht="39" x14ac:dyDescent="0.25">
      <c r="A309" s="105"/>
      <c r="B309" s="106" t="s">
        <v>3359</v>
      </c>
      <c r="C309" s="107" t="s">
        <v>3360</v>
      </c>
    </row>
  </sheetData>
  <mergeCells count="1">
    <mergeCell ref="A306:G306"/>
  </mergeCell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100"/>
  <sheetViews>
    <sheetView topLeftCell="A89" workbookViewId="0">
      <selection activeCell="G272" sqref="G272"/>
    </sheetView>
  </sheetViews>
  <sheetFormatPr defaultRowHeight="15" x14ac:dyDescent="0.25"/>
  <cols>
    <col min="1" max="1" width="21.42578125" customWidth="1"/>
    <col min="2" max="2" width="4" bestFit="1" customWidth="1"/>
    <col min="3" max="3" width="23.85546875" customWidth="1"/>
    <col min="4" max="4" width="25" customWidth="1"/>
  </cols>
  <sheetData>
    <row r="1" spans="1:4" x14ac:dyDescent="0.25">
      <c r="A1" s="13"/>
      <c r="B1" s="19"/>
      <c r="C1" s="1" t="s">
        <v>339</v>
      </c>
      <c r="D1" s="1" t="s">
        <v>340</v>
      </c>
    </row>
    <row r="2" spans="1:4" x14ac:dyDescent="0.25">
      <c r="A2" s="13" t="s">
        <v>382</v>
      </c>
      <c r="B2" s="19">
        <v>1</v>
      </c>
      <c r="C2" s="1"/>
      <c r="D2" s="1"/>
    </row>
    <row r="3" spans="1:4" x14ac:dyDescent="0.25">
      <c r="A3" s="13" t="s">
        <v>382</v>
      </c>
      <c r="B3" s="19">
        <v>4</v>
      </c>
      <c r="C3" s="1"/>
      <c r="D3" s="1"/>
    </row>
    <row r="4" spans="1:4" x14ac:dyDescent="0.25">
      <c r="A4" s="13" t="s">
        <v>382</v>
      </c>
      <c r="B4" s="19">
        <v>10</v>
      </c>
      <c r="C4" s="1"/>
      <c r="D4" s="1"/>
    </row>
    <row r="5" spans="1:4" x14ac:dyDescent="0.25">
      <c r="A5" s="13" t="s">
        <v>382</v>
      </c>
      <c r="B5" s="19">
        <v>20</v>
      </c>
      <c r="C5" s="1"/>
      <c r="D5" s="1"/>
    </row>
    <row r="6" spans="1:4" x14ac:dyDescent="0.25">
      <c r="A6" s="13" t="s">
        <v>383</v>
      </c>
      <c r="B6" s="19">
        <v>1</v>
      </c>
      <c r="C6" s="1"/>
      <c r="D6" s="1"/>
    </row>
    <row r="7" spans="1:4" x14ac:dyDescent="0.25">
      <c r="A7" s="13" t="s">
        <v>383</v>
      </c>
      <c r="B7" s="19">
        <v>4</v>
      </c>
      <c r="C7" s="1"/>
      <c r="D7" s="1"/>
    </row>
    <row r="8" spans="1:4" x14ac:dyDescent="0.25">
      <c r="A8" s="13" t="s">
        <v>383</v>
      </c>
      <c r="B8" s="19">
        <v>10</v>
      </c>
      <c r="C8" s="1"/>
      <c r="D8" s="1"/>
    </row>
    <row r="9" spans="1:4" x14ac:dyDescent="0.25">
      <c r="A9" s="13" t="s">
        <v>383</v>
      </c>
      <c r="B9" s="19">
        <v>20</v>
      </c>
      <c r="C9" s="1"/>
      <c r="D9" s="1"/>
    </row>
    <row r="10" spans="1:4" x14ac:dyDescent="0.25">
      <c r="A10" s="13" t="s">
        <v>384</v>
      </c>
      <c r="B10" s="19">
        <v>1</v>
      </c>
      <c r="C10" s="1"/>
      <c r="D10" s="1"/>
    </row>
    <row r="11" spans="1:4" x14ac:dyDescent="0.25">
      <c r="A11" s="13" t="s">
        <v>384</v>
      </c>
      <c r="B11" s="19">
        <v>4</v>
      </c>
      <c r="C11" s="1"/>
      <c r="D11" s="1"/>
    </row>
    <row r="12" spans="1:4" x14ac:dyDescent="0.25">
      <c r="A12" s="13" t="s">
        <v>384</v>
      </c>
      <c r="B12" s="19">
        <v>10</v>
      </c>
      <c r="C12" s="1"/>
      <c r="D12" s="1"/>
    </row>
    <row r="13" spans="1:4" x14ac:dyDescent="0.25">
      <c r="A13" s="13" t="s">
        <v>384</v>
      </c>
      <c r="B13" s="19">
        <v>20</v>
      </c>
      <c r="C13" s="1"/>
      <c r="D13" s="1"/>
    </row>
    <row r="14" spans="1:4" x14ac:dyDescent="0.25">
      <c r="A14" s="13" t="s">
        <v>385</v>
      </c>
      <c r="B14" s="19">
        <v>1</v>
      </c>
      <c r="C14" s="1"/>
      <c r="D14" s="1"/>
    </row>
    <row r="15" spans="1:4" x14ac:dyDescent="0.25">
      <c r="A15" s="13" t="s">
        <v>385</v>
      </c>
      <c r="B15" s="19">
        <v>4</v>
      </c>
      <c r="C15" s="1"/>
      <c r="D15" s="1"/>
    </row>
    <row r="16" spans="1:4" x14ac:dyDescent="0.25">
      <c r="A16" s="13" t="s">
        <v>385</v>
      </c>
      <c r="B16" s="19">
        <v>10</v>
      </c>
      <c r="C16" s="1"/>
      <c r="D16" s="1"/>
    </row>
    <row r="17" spans="1:4" x14ac:dyDescent="0.25">
      <c r="A17" s="13" t="s">
        <v>385</v>
      </c>
      <c r="B17" s="19">
        <v>20</v>
      </c>
      <c r="C17" s="1"/>
      <c r="D17" s="1"/>
    </row>
    <row r="18" spans="1:4" x14ac:dyDescent="0.25">
      <c r="A18" s="13" t="s">
        <v>386</v>
      </c>
      <c r="B18" s="19">
        <v>1</v>
      </c>
      <c r="C18" s="1"/>
      <c r="D18" s="1"/>
    </row>
    <row r="19" spans="1:4" x14ac:dyDescent="0.25">
      <c r="A19" s="13" t="s">
        <v>386</v>
      </c>
      <c r="B19" s="19">
        <v>4</v>
      </c>
      <c r="C19" s="1"/>
      <c r="D19" s="1"/>
    </row>
    <row r="20" spans="1:4" x14ac:dyDescent="0.25">
      <c r="A20" s="13" t="s">
        <v>386</v>
      </c>
      <c r="B20" s="19">
        <v>10</v>
      </c>
      <c r="C20" s="1"/>
      <c r="D20" s="1"/>
    </row>
    <row r="21" spans="1:4" x14ac:dyDescent="0.25">
      <c r="A21" s="13" t="s">
        <v>386</v>
      </c>
      <c r="B21" s="19">
        <v>20</v>
      </c>
      <c r="C21" s="1"/>
      <c r="D21" s="1"/>
    </row>
    <row r="22" spans="1:4" x14ac:dyDescent="0.25">
      <c r="A22" s="13" t="s">
        <v>387</v>
      </c>
      <c r="B22" s="19">
        <v>1</v>
      </c>
      <c r="C22" s="1"/>
      <c r="D22" s="1"/>
    </row>
    <row r="23" spans="1:4" x14ac:dyDescent="0.25">
      <c r="A23" s="13" t="s">
        <v>387</v>
      </c>
      <c r="B23" s="19">
        <v>4</v>
      </c>
      <c r="C23" s="1"/>
      <c r="D23" s="1"/>
    </row>
    <row r="24" spans="1:4" x14ac:dyDescent="0.25">
      <c r="A24" s="13" t="s">
        <v>387</v>
      </c>
      <c r="B24" s="19">
        <v>10</v>
      </c>
      <c r="C24" s="1"/>
      <c r="D24" s="1"/>
    </row>
    <row r="25" spans="1:4" x14ac:dyDescent="0.25">
      <c r="A25" s="13" t="s">
        <v>387</v>
      </c>
      <c r="B25" s="19">
        <v>20</v>
      </c>
      <c r="C25" s="1"/>
      <c r="D25" s="1"/>
    </row>
    <row r="26" spans="1:4" x14ac:dyDescent="0.25">
      <c r="A26" s="13"/>
      <c r="B26" s="19"/>
      <c r="C26" s="1" t="s">
        <v>339</v>
      </c>
      <c r="D26" s="1" t="s">
        <v>340</v>
      </c>
    </row>
    <row r="27" spans="1:4" x14ac:dyDescent="0.25">
      <c r="A27" s="13" t="s">
        <v>18</v>
      </c>
      <c r="B27" s="19">
        <v>1</v>
      </c>
      <c r="C27" s="1"/>
      <c r="D27" s="1"/>
    </row>
    <row r="28" spans="1:4" x14ac:dyDescent="0.25">
      <c r="A28" s="13" t="s">
        <v>18</v>
      </c>
      <c r="B28" s="19">
        <v>4</v>
      </c>
      <c r="C28" s="1"/>
      <c r="D28" s="1"/>
    </row>
    <row r="29" spans="1:4" x14ac:dyDescent="0.25">
      <c r="A29" s="13" t="s">
        <v>18</v>
      </c>
      <c r="B29" s="19">
        <v>10</v>
      </c>
      <c r="C29" s="1"/>
      <c r="D29" s="1"/>
    </row>
    <row r="30" spans="1:4" x14ac:dyDescent="0.25">
      <c r="A30" s="13" t="s">
        <v>18</v>
      </c>
      <c r="B30" s="19">
        <v>20</v>
      </c>
      <c r="C30" s="1"/>
      <c r="D30" s="1"/>
    </row>
    <row r="31" spans="1:4" x14ac:dyDescent="0.25">
      <c r="A31" s="13" t="s">
        <v>19</v>
      </c>
      <c r="B31" s="19">
        <v>1</v>
      </c>
      <c r="C31" s="1"/>
      <c r="D31" s="1"/>
    </row>
    <row r="32" spans="1:4" x14ac:dyDescent="0.25">
      <c r="A32" s="13" t="s">
        <v>19</v>
      </c>
      <c r="B32" s="19">
        <v>4</v>
      </c>
      <c r="C32" s="1"/>
      <c r="D32" s="1"/>
    </row>
    <row r="33" spans="1:4" x14ac:dyDescent="0.25">
      <c r="A33" s="13" t="s">
        <v>19</v>
      </c>
      <c r="B33" s="19">
        <v>10</v>
      </c>
      <c r="C33" s="1"/>
      <c r="D33" s="1"/>
    </row>
    <row r="34" spans="1:4" x14ac:dyDescent="0.25">
      <c r="A34" s="13" t="s">
        <v>19</v>
      </c>
      <c r="B34" s="19">
        <v>20</v>
      </c>
      <c r="C34" s="1"/>
      <c r="D34" s="1"/>
    </row>
    <row r="35" spans="1:4" x14ac:dyDescent="0.25">
      <c r="A35" s="13" t="s">
        <v>20</v>
      </c>
      <c r="B35" s="19">
        <v>1</v>
      </c>
      <c r="C35" s="1"/>
      <c r="D35" s="1"/>
    </row>
    <row r="36" spans="1:4" x14ac:dyDescent="0.25">
      <c r="A36" s="13" t="s">
        <v>20</v>
      </c>
      <c r="B36" s="19">
        <v>4</v>
      </c>
      <c r="C36" s="1"/>
      <c r="D36" s="1"/>
    </row>
    <row r="37" spans="1:4" x14ac:dyDescent="0.25">
      <c r="A37" s="13" t="s">
        <v>20</v>
      </c>
      <c r="B37" s="19">
        <v>10</v>
      </c>
      <c r="C37" s="1"/>
      <c r="D37" s="1"/>
    </row>
    <row r="38" spans="1:4" x14ac:dyDescent="0.25">
      <c r="A38" s="13" t="s">
        <v>20</v>
      </c>
      <c r="B38" s="19">
        <v>20</v>
      </c>
      <c r="C38" s="1"/>
      <c r="D38" s="1"/>
    </row>
    <row r="39" spans="1:4" x14ac:dyDescent="0.25">
      <c r="A39" s="13"/>
      <c r="B39" s="19"/>
      <c r="C39" s="1" t="s">
        <v>339</v>
      </c>
      <c r="D39" s="1" t="s">
        <v>340</v>
      </c>
    </row>
    <row r="40" spans="1:4" x14ac:dyDescent="0.25">
      <c r="A40" s="13" t="s">
        <v>371</v>
      </c>
      <c r="B40" s="19">
        <v>1</v>
      </c>
      <c r="C40" s="1"/>
      <c r="D40" s="1"/>
    </row>
    <row r="41" spans="1:4" x14ac:dyDescent="0.25">
      <c r="A41" s="13" t="s">
        <v>371</v>
      </c>
      <c r="B41" s="19">
        <v>4</v>
      </c>
      <c r="C41" s="1"/>
      <c r="D41" s="1"/>
    </row>
    <row r="42" spans="1:4" x14ac:dyDescent="0.25">
      <c r="A42" s="13" t="s">
        <v>371</v>
      </c>
      <c r="B42" s="19">
        <v>10</v>
      </c>
      <c r="C42" s="1"/>
      <c r="D42" s="1"/>
    </row>
    <row r="43" spans="1:4" x14ac:dyDescent="0.25">
      <c r="A43" s="13" t="s">
        <v>371</v>
      </c>
      <c r="B43" s="19">
        <v>20</v>
      </c>
      <c r="C43" s="1"/>
      <c r="D43" s="1"/>
    </row>
    <row r="44" spans="1:4" x14ac:dyDescent="0.25">
      <c r="A44" s="13" t="s">
        <v>372</v>
      </c>
      <c r="B44" s="19">
        <v>1</v>
      </c>
      <c r="C44" s="1"/>
      <c r="D44" s="1"/>
    </row>
    <row r="45" spans="1:4" x14ac:dyDescent="0.25">
      <c r="A45" s="13" t="s">
        <v>372</v>
      </c>
      <c r="B45" s="19">
        <v>4</v>
      </c>
      <c r="C45" s="1"/>
      <c r="D45" s="1"/>
    </row>
    <row r="46" spans="1:4" x14ac:dyDescent="0.25">
      <c r="A46" s="13" t="s">
        <v>372</v>
      </c>
      <c r="B46" s="19">
        <v>10</v>
      </c>
      <c r="C46" s="1"/>
      <c r="D46" s="1"/>
    </row>
    <row r="47" spans="1:4" x14ac:dyDescent="0.25">
      <c r="A47" s="13" t="s">
        <v>372</v>
      </c>
      <c r="B47" s="19">
        <v>20</v>
      </c>
      <c r="C47" s="1"/>
      <c r="D47" s="1"/>
    </row>
    <row r="48" spans="1:4" x14ac:dyDescent="0.25">
      <c r="A48" s="13" t="s">
        <v>28</v>
      </c>
      <c r="B48" s="19">
        <v>1</v>
      </c>
      <c r="C48" s="1"/>
      <c r="D48" s="1"/>
    </row>
    <row r="49" spans="1:4" x14ac:dyDescent="0.25">
      <c r="A49" s="13" t="s">
        <v>28</v>
      </c>
      <c r="B49" s="19">
        <v>4</v>
      </c>
      <c r="C49" s="1"/>
      <c r="D49" s="1"/>
    </row>
    <row r="50" spans="1:4" x14ac:dyDescent="0.25">
      <c r="A50" s="13" t="s">
        <v>28</v>
      </c>
      <c r="B50" s="19">
        <v>10</v>
      </c>
      <c r="C50" s="1"/>
      <c r="D50" s="1"/>
    </row>
    <row r="51" spans="1:4" x14ac:dyDescent="0.25">
      <c r="A51" s="13" t="s">
        <v>28</v>
      </c>
      <c r="B51" s="19">
        <v>20</v>
      </c>
      <c r="C51" s="1"/>
      <c r="D51" s="1"/>
    </row>
    <row r="52" spans="1:4" x14ac:dyDescent="0.25">
      <c r="A52" s="13" t="s">
        <v>373</v>
      </c>
      <c r="B52" s="19">
        <v>1</v>
      </c>
      <c r="C52" s="1"/>
      <c r="D52" s="1"/>
    </row>
    <row r="53" spans="1:4" x14ac:dyDescent="0.25">
      <c r="A53" s="13" t="s">
        <v>373</v>
      </c>
      <c r="B53" s="19">
        <v>4</v>
      </c>
      <c r="C53" s="1"/>
      <c r="D53" s="1"/>
    </row>
    <row r="54" spans="1:4" x14ac:dyDescent="0.25">
      <c r="A54" s="13" t="s">
        <v>373</v>
      </c>
      <c r="B54" s="19">
        <v>10</v>
      </c>
      <c r="C54" s="1"/>
      <c r="D54" s="1"/>
    </row>
    <row r="55" spans="1:4" x14ac:dyDescent="0.25">
      <c r="A55" s="13" t="s">
        <v>373</v>
      </c>
      <c r="B55" s="19">
        <v>20</v>
      </c>
      <c r="C55" s="1"/>
      <c r="D55" s="1"/>
    </row>
    <row r="56" spans="1:4" x14ac:dyDescent="0.25">
      <c r="A56" s="13" t="s">
        <v>374</v>
      </c>
      <c r="B56" s="19">
        <v>1</v>
      </c>
      <c r="C56" s="1"/>
      <c r="D56" s="1"/>
    </row>
    <row r="57" spans="1:4" x14ac:dyDescent="0.25">
      <c r="A57" s="13" t="s">
        <v>374</v>
      </c>
      <c r="B57" s="19">
        <v>4</v>
      </c>
      <c r="C57" s="1"/>
      <c r="D57" s="1"/>
    </row>
    <row r="58" spans="1:4" x14ac:dyDescent="0.25">
      <c r="A58" s="13" t="s">
        <v>374</v>
      </c>
      <c r="B58" s="19">
        <v>10</v>
      </c>
      <c r="C58" s="1"/>
      <c r="D58" s="1"/>
    </row>
    <row r="59" spans="1:4" x14ac:dyDescent="0.25">
      <c r="A59" s="13" t="s">
        <v>374</v>
      </c>
      <c r="B59" s="19">
        <v>20</v>
      </c>
      <c r="C59" s="1"/>
      <c r="D59" s="1"/>
    </row>
    <row r="60" spans="1:4" x14ac:dyDescent="0.25">
      <c r="A60" s="13" t="s">
        <v>30</v>
      </c>
      <c r="B60" s="19">
        <v>1</v>
      </c>
      <c r="C60" s="1"/>
      <c r="D60" s="1"/>
    </row>
    <row r="61" spans="1:4" x14ac:dyDescent="0.25">
      <c r="A61" s="13" t="s">
        <v>30</v>
      </c>
      <c r="B61" s="19">
        <v>4</v>
      </c>
      <c r="C61" s="1"/>
      <c r="D61" s="1"/>
    </row>
    <row r="62" spans="1:4" x14ac:dyDescent="0.25">
      <c r="A62" s="13" t="s">
        <v>375</v>
      </c>
      <c r="B62" s="19">
        <v>10</v>
      </c>
      <c r="C62" s="1"/>
      <c r="D62" s="1"/>
    </row>
    <row r="63" spans="1:4" x14ac:dyDescent="0.25">
      <c r="A63" s="13" t="s">
        <v>30</v>
      </c>
      <c r="B63" s="19">
        <v>20</v>
      </c>
      <c r="C63" s="1"/>
      <c r="D63" s="1"/>
    </row>
    <row r="64" spans="1:4" x14ac:dyDescent="0.25">
      <c r="A64" s="13" t="s">
        <v>375</v>
      </c>
      <c r="B64" s="19">
        <v>1</v>
      </c>
      <c r="C64" s="1"/>
      <c r="D64" s="1"/>
    </row>
    <row r="65" spans="1:4" x14ac:dyDescent="0.25">
      <c r="A65" s="13" t="s">
        <v>375</v>
      </c>
      <c r="B65" s="19">
        <v>4</v>
      </c>
      <c r="C65" s="1"/>
      <c r="D65" s="1"/>
    </row>
    <row r="66" spans="1:4" x14ac:dyDescent="0.25">
      <c r="A66" s="13" t="s">
        <v>375</v>
      </c>
      <c r="B66" s="19">
        <v>10</v>
      </c>
      <c r="C66" s="1"/>
      <c r="D66" s="1"/>
    </row>
    <row r="67" spans="1:4" x14ac:dyDescent="0.25">
      <c r="A67" s="13" t="s">
        <v>375</v>
      </c>
      <c r="B67" s="19">
        <v>20</v>
      </c>
      <c r="C67" s="1"/>
      <c r="D67" s="1"/>
    </row>
    <row r="69" spans="1:4" x14ac:dyDescent="0.25">
      <c r="A69" s="13" t="s">
        <v>349</v>
      </c>
      <c r="B69" s="19">
        <v>1</v>
      </c>
      <c r="C69" s="1"/>
      <c r="D69" s="1"/>
    </row>
    <row r="70" spans="1:4" x14ac:dyDescent="0.25">
      <c r="A70" s="13" t="s">
        <v>349</v>
      </c>
      <c r="B70" s="19">
        <v>4</v>
      </c>
      <c r="C70" s="1"/>
      <c r="D70" s="1"/>
    </row>
    <row r="71" spans="1:4" x14ac:dyDescent="0.25">
      <c r="A71" s="13" t="s">
        <v>349</v>
      </c>
      <c r="B71" s="19">
        <v>10</v>
      </c>
      <c r="C71" s="1"/>
      <c r="D71" s="1"/>
    </row>
    <row r="72" spans="1:4" x14ac:dyDescent="0.25">
      <c r="A72" s="13" t="s">
        <v>349</v>
      </c>
      <c r="B72" s="19">
        <v>20</v>
      </c>
      <c r="C72" s="1"/>
      <c r="D72" s="1"/>
    </row>
    <row r="73" spans="1:4" x14ac:dyDescent="0.25">
      <c r="A73" s="13" t="s">
        <v>350</v>
      </c>
      <c r="B73" s="19">
        <v>1</v>
      </c>
      <c r="C73" s="1"/>
      <c r="D73" s="1"/>
    </row>
    <row r="74" spans="1:4" x14ac:dyDescent="0.25">
      <c r="A74" s="3">
        <v>65744</v>
      </c>
      <c r="B74" s="19">
        <v>4</v>
      </c>
      <c r="C74" s="1"/>
      <c r="D74" s="1"/>
    </row>
    <row r="75" spans="1:4" x14ac:dyDescent="0.25">
      <c r="A75" s="13" t="s">
        <v>350</v>
      </c>
      <c r="B75" s="19">
        <v>10</v>
      </c>
      <c r="C75" s="1"/>
      <c r="D75" s="1"/>
    </row>
    <row r="76" spans="1:4" x14ac:dyDescent="0.25">
      <c r="A76" s="13" t="s">
        <v>350</v>
      </c>
      <c r="B76" s="19">
        <v>20</v>
      </c>
      <c r="C76" s="1"/>
      <c r="D76" s="1"/>
    </row>
    <row r="77" spans="1:4" x14ac:dyDescent="0.25">
      <c r="A77" s="13" t="s">
        <v>351</v>
      </c>
      <c r="B77" s="19">
        <v>1</v>
      </c>
      <c r="C77" s="1"/>
      <c r="D77" s="1"/>
    </row>
    <row r="78" spans="1:4" x14ac:dyDescent="0.25">
      <c r="A78" s="13" t="s">
        <v>351</v>
      </c>
      <c r="B78" s="19">
        <v>4</v>
      </c>
      <c r="C78" s="1"/>
      <c r="D78" s="1"/>
    </row>
    <row r="79" spans="1:4" x14ac:dyDescent="0.25">
      <c r="A79" s="13" t="s">
        <v>351</v>
      </c>
      <c r="B79" s="19">
        <v>10</v>
      </c>
      <c r="C79" s="1"/>
      <c r="D79" s="1"/>
    </row>
    <row r="80" spans="1:4" x14ac:dyDescent="0.25">
      <c r="A80" s="13" t="s">
        <v>351</v>
      </c>
      <c r="B80" s="19">
        <v>20</v>
      </c>
      <c r="C80" s="1"/>
      <c r="D80" s="1"/>
    </row>
    <row r="81" spans="1:4" x14ac:dyDescent="0.25">
      <c r="A81" s="13" t="s">
        <v>352</v>
      </c>
      <c r="B81" s="19">
        <v>1</v>
      </c>
      <c r="C81" s="1"/>
      <c r="D81" s="1"/>
    </row>
    <row r="82" spans="1:4" x14ac:dyDescent="0.25">
      <c r="A82" s="13" t="s">
        <v>352</v>
      </c>
      <c r="B82" s="19">
        <v>4</v>
      </c>
      <c r="C82" s="1"/>
      <c r="D82" s="1"/>
    </row>
    <row r="83" spans="1:4" x14ac:dyDescent="0.25">
      <c r="A83" s="13" t="s">
        <v>352</v>
      </c>
      <c r="B83" s="19">
        <v>10</v>
      </c>
      <c r="C83" s="1"/>
      <c r="D83" s="1"/>
    </row>
    <row r="84" spans="1:4" x14ac:dyDescent="0.25">
      <c r="A84" s="13" t="s">
        <v>352</v>
      </c>
      <c r="B84" s="19">
        <v>20</v>
      </c>
      <c r="C84" s="1"/>
      <c r="D84" s="1"/>
    </row>
    <row r="85" spans="1:4" x14ac:dyDescent="0.25">
      <c r="A85" s="13" t="s">
        <v>353</v>
      </c>
      <c r="B85" s="19">
        <v>1</v>
      </c>
      <c r="C85" s="1"/>
      <c r="D85" s="1"/>
    </row>
    <row r="86" spans="1:4" x14ac:dyDescent="0.25">
      <c r="A86" s="13" t="s">
        <v>353</v>
      </c>
      <c r="B86" s="19">
        <v>4</v>
      </c>
      <c r="C86" s="1"/>
      <c r="D86" s="1"/>
    </row>
    <row r="87" spans="1:4" x14ac:dyDescent="0.25">
      <c r="A87" s="13" t="s">
        <v>353</v>
      </c>
      <c r="B87" s="19">
        <v>10</v>
      </c>
      <c r="C87" s="1"/>
      <c r="D87" s="1"/>
    </row>
    <row r="88" spans="1:4" x14ac:dyDescent="0.25">
      <c r="A88" s="13" t="s">
        <v>353</v>
      </c>
      <c r="B88" s="19">
        <v>20</v>
      </c>
      <c r="C88" s="1"/>
      <c r="D88" s="1"/>
    </row>
    <row r="89" spans="1:4" x14ac:dyDescent="0.25">
      <c r="A89" s="13" t="s">
        <v>354</v>
      </c>
      <c r="B89" s="19">
        <v>1</v>
      </c>
      <c r="C89" s="1"/>
      <c r="D89" s="1"/>
    </row>
    <row r="90" spans="1:4" x14ac:dyDescent="0.25">
      <c r="A90" s="13" t="s">
        <v>354</v>
      </c>
      <c r="B90" s="19">
        <v>4</v>
      </c>
      <c r="C90" s="1"/>
      <c r="D90" s="1"/>
    </row>
    <row r="91" spans="1:4" x14ac:dyDescent="0.25">
      <c r="A91" s="13" t="s">
        <v>354</v>
      </c>
      <c r="B91" s="19">
        <v>10</v>
      </c>
      <c r="C91" s="1"/>
      <c r="D91" s="1"/>
    </row>
    <row r="92" spans="1:4" x14ac:dyDescent="0.25">
      <c r="A92" s="13" t="s">
        <v>354</v>
      </c>
      <c r="B92" s="19">
        <v>20</v>
      </c>
      <c r="C92" s="1"/>
      <c r="D92" s="1"/>
    </row>
    <row r="93" spans="1:4" x14ac:dyDescent="0.25">
      <c r="A93" s="13" t="s">
        <v>355</v>
      </c>
      <c r="B93" s="19">
        <v>1</v>
      </c>
      <c r="C93" s="1"/>
      <c r="D93" s="1"/>
    </row>
    <row r="94" spans="1:4" x14ac:dyDescent="0.25">
      <c r="A94" s="13" t="s">
        <v>355</v>
      </c>
      <c r="B94" s="19">
        <v>4</v>
      </c>
      <c r="C94" s="1"/>
      <c r="D94" s="1"/>
    </row>
    <row r="95" spans="1:4" x14ac:dyDescent="0.25">
      <c r="A95" s="13" t="s">
        <v>355</v>
      </c>
      <c r="B95" s="19">
        <v>10</v>
      </c>
      <c r="C95" s="1"/>
      <c r="D95" s="1"/>
    </row>
    <row r="96" spans="1:4" x14ac:dyDescent="0.25">
      <c r="A96" s="13" t="s">
        <v>355</v>
      </c>
      <c r="B96" s="19">
        <v>20</v>
      </c>
      <c r="C96" s="1"/>
      <c r="D96" s="1"/>
    </row>
    <row r="97" spans="1:4" x14ac:dyDescent="0.25">
      <c r="A97" s="13" t="s">
        <v>356</v>
      </c>
      <c r="B97" s="19">
        <v>1</v>
      </c>
      <c r="C97" s="1"/>
      <c r="D97" s="1"/>
    </row>
    <row r="98" spans="1:4" x14ac:dyDescent="0.25">
      <c r="A98" s="13" t="s">
        <v>356</v>
      </c>
      <c r="B98" s="19">
        <v>4</v>
      </c>
      <c r="C98" s="1"/>
      <c r="D98" s="1"/>
    </row>
    <row r="99" spans="1:4" x14ac:dyDescent="0.25">
      <c r="A99" s="13" t="s">
        <v>356</v>
      </c>
      <c r="B99" s="19">
        <v>10</v>
      </c>
      <c r="C99" s="1"/>
      <c r="D99" s="1"/>
    </row>
    <row r="100" spans="1:4" x14ac:dyDescent="0.25">
      <c r="A100" s="13" t="s">
        <v>356</v>
      </c>
      <c r="B100" s="19">
        <v>20</v>
      </c>
      <c r="C100" s="1"/>
      <c r="D100" s="1"/>
    </row>
  </sheetData>
  <pageMargins left="0.7" right="0.7" top="0.75" bottom="0.75" header="0.3" footer="0.3"/>
  <pageSetup orientation="portrait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1224"/>
  <sheetViews>
    <sheetView topLeftCell="A81" workbookViewId="0">
      <selection activeCell="G272" sqref="G272"/>
    </sheetView>
  </sheetViews>
  <sheetFormatPr defaultRowHeight="15" x14ac:dyDescent="0.25"/>
  <cols>
    <col min="1" max="1" width="51.85546875" customWidth="1"/>
    <col min="2" max="2" width="8.5703125" customWidth="1"/>
    <col min="3" max="3" width="8.5703125" bestFit="1" customWidth="1"/>
    <col min="4" max="4" width="11" customWidth="1"/>
  </cols>
  <sheetData>
    <row r="1" spans="1:4" ht="27" thickBot="1" x14ac:dyDescent="0.3">
      <c r="A1" s="78" t="s">
        <v>490</v>
      </c>
      <c r="B1" s="79" t="s">
        <v>491</v>
      </c>
      <c r="C1" s="80" t="s">
        <v>492</v>
      </c>
      <c r="D1" s="81"/>
    </row>
    <row r="2" spans="1:4" ht="15.75" thickBot="1" x14ac:dyDescent="0.3">
      <c r="A2" s="82" t="s">
        <v>493</v>
      </c>
      <c r="B2" s="83" t="s">
        <v>494</v>
      </c>
      <c r="C2" s="84">
        <v>1</v>
      </c>
      <c r="D2" s="81"/>
    </row>
    <row r="3" spans="1:4" ht="15.75" thickBot="1" x14ac:dyDescent="0.3">
      <c r="A3" s="82" t="s">
        <v>495</v>
      </c>
      <c r="B3" s="83" t="s">
        <v>494</v>
      </c>
      <c r="C3" s="84">
        <v>0</v>
      </c>
      <c r="D3" s="81"/>
    </row>
    <row r="4" spans="1:4" ht="15.75" thickBot="1" x14ac:dyDescent="0.3">
      <c r="A4" s="82" t="s">
        <v>496</v>
      </c>
      <c r="B4" s="83" t="s">
        <v>494</v>
      </c>
      <c r="C4" s="84">
        <v>0</v>
      </c>
      <c r="D4" s="81"/>
    </row>
    <row r="5" spans="1:4" ht="15.75" thickBot="1" x14ac:dyDescent="0.3">
      <c r="A5" s="82" t="s">
        <v>497</v>
      </c>
      <c r="B5" s="83" t="s">
        <v>494</v>
      </c>
      <c r="C5" s="84">
        <v>0</v>
      </c>
      <c r="D5" s="81"/>
    </row>
    <row r="6" spans="1:4" ht="15.75" thickBot="1" x14ac:dyDescent="0.3">
      <c r="A6" s="82" t="s">
        <v>498</v>
      </c>
      <c r="B6" s="83" t="s">
        <v>494</v>
      </c>
      <c r="C6" s="84">
        <v>0</v>
      </c>
      <c r="D6" s="81"/>
    </row>
    <row r="7" spans="1:4" ht="15.75" thickBot="1" x14ac:dyDescent="0.3">
      <c r="A7" s="82" t="s">
        <v>499</v>
      </c>
      <c r="B7" s="83" t="s">
        <v>494</v>
      </c>
      <c r="C7" s="84">
        <v>0</v>
      </c>
      <c r="D7" s="81"/>
    </row>
    <row r="8" spans="1:4" ht="15.75" thickBot="1" x14ac:dyDescent="0.3">
      <c r="A8" s="82" t="s">
        <v>500</v>
      </c>
      <c r="B8" s="83" t="s">
        <v>494</v>
      </c>
      <c r="C8" s="84">
        <v>0</v>
      </c>
      <c r="D8" s="81"/>
    </row>
    <row r="9" spans="1:4" ht="15.75" thickBot="1" x14ac:dyDescent="0.3">
      <c r="A9" s="82" t="s">
        <v>501</v>
      </c>
      <c r="B9" s="83" t="s">
        <v>494</v>
      </c>
      <c r="C9" s="84">
        <v>0</v>
      </c>
      <c r="D9" s="81"/>
    </row>
    <row r="10" spans="1:4" ht="15.75" thickBot="1" x14ac:dyDescent="0.3">
      <c r="A10" s="82" t="s">
        <v>502</v>
      </c>
      <c r="B10" s="83" t="s">
        <v>494</v>
      </c>
      <c r="C10" s="84">
        <v>0</v>
      </c>
      <c r="D10" s="81"/>
    </row>
    <row r="11" spans="1:4" ht="15.75" thickBot="1" x14ac:dyDescent="0.3">
      <c r="A11" s="82" t="s">
        <v>503</v>
      </c>
      <c r="B11" s="83" t="s">
        <v>494</v>
      </c>
      <c r="C11" s="84">
        <v>0</v>
      </c>
      <c r="D11" s="81"/>
    </row>
    <row r="12" spans="1:4" ht="15.75" thickBot="1" x14ac:dyDescent="0.3">
      <c r="A12" s="82" t="s">
        <v>504</v>
      </c>
      <c r="B12" s="83" t="s">
        <v>494</v>
      </c>
      <c r="C12" s="84">
        <v>0</v>
      </c>
      <c r="D12" s="81"/>
    </row>
    <row r="13" spans="1:4" ht="15.75" thickBot="1" x14ac:dyDescent="0.3">
      <c r="A13" s="82" t="s">
        <v>505</v>
      </c>
      <c r="B13" s="83" t="s">
        <v>494</v>
      </c>
      <c r="C13" s="84">
        <v>0</v>
      </c>
      <c r="D13" s="81"/>
    </row>
    <row r="14" spans="1:4" ht="15.75" thickBot="1" x14ac:dyDescent="0.3">
      <c r="A14" s="82" t="s">
        <v>506</v>
      </c>
      <c r="B14" s="83" t="s">
        <v>494</v>
      </c>
      <c r="C14" s="84">
        <v>0</v>
      </c>
      <c r="D14" s="81"/>
    </row>
    <row r="15" spans="1:4" ht="15.75" thickBot="1" x14ac:dyDescent="0.3">
      <c r="A15" s="82" t="s">
        <v>507</v>
      </c>
      <c r="B15" s="83" t="s">
        <v>296</v>
      </c>
      <c r="C15" s="85">
        <v>8</v>
      </c>
      <c r="D15" s="81">
        <v>800</v>
      </c>
    </row>
    <row r="16" spans="1:4" ht="15.75" thickBot="1" x14ac:dyDescent="0.3">
      <c r="A16" s="82" t="s">
        <v>508</v>
      </c>
      <c r="B16" s="83" t="s">
        <v>509</v>
      </c>
      <c r="C16" s="85">
        <v>13</v>
      </c>
      <c r="D16" s="81">
        <v>2900</v>
      </c>
    </row>
    <row r="17" spans="1:4" ht="15.75" thickBot="1" x14ac:dyDescent="0.3">
      <c r="A17" s="82" t="s">
        <v>510</v>
      </c>
      <c r="B17" s="83" t="s">
        <v>511</v>
      </c>
      <c r="C17" s="84">
        <v>1</v>
      </c>
      <c r="D17" s="81">
        <v>6900</v>
      </c>
    </row>
    <row r="18" spans="1:4" ht="15.75" thickBot="1" x14ac:dyDescent="0.3">
      <c r="A18" s="82" t="s">
        <v>512</v>
      </c>
      <c r="B18" s="83" t="s">
        <v>439</v>
      </c>
      <c r="C18" s="86">
        <v>4</v>
      </c>
      <c r="D18" s="81">
        <v>13000</v>
      </c>
    </row>
    <row r="19" spans="1:4" ht="15.75" thickBot="1" x14ac:dyDescent="0.3">
      <c r="A19" s="82" t="s">
        <v>513</v>
      </c>
      <c r="B19" s="83" t="s">
        <v>296</v>
      </c>
      <c r="C19" s="84">
        <v>0</v>
      </c>
      <c r="D19" s="81"/>
    </row>
    <row r="20" spans="1:4" ht="15.75" thickBot="1" x14ac:dyDescent="0.3">
      <c r="A20" s="82" t="s">
        <v>514</v>
      </c>
      <c r="B20" s="83" t="s">
        <v>509</v>
      </c>
      <c r="C20" s="84">
        <v>0</v>
      </c>
      <c r="D20" s="81"/>
    </row>
    <row r="21" spans="1:4" ht="15.75" thickBot="1" x14ac:dyDescent="0.3">
      <c r="A21" s="82" t="s">
        <v>515</v>
      </c>
      <c r="B21" s="83" t="s">
        <v>511</v>
      </c>
      <c r="C21" s="84">
        <v>0</v>
      </c>
      <c r="D21" s="81"/>
    </row>
    <row r="22" spans="1:4" ht="15.75" thickBot="1" x14ac:dyDescent="0.3">
      <c r="A22" s="82" t="s">
        <v>516</v>
      </c>
      <c r="B22" s="83" t="s">
        <v>439</v>
      </c>
      <c r="C22" s="84">
        <v>0</v>
      </c>
      <c r="D22" s="81"/>
    </row>
    <row r="23" spans="1:4" ht="15.75" thickBot="1" x14ac:dyDescent="0.3">
      <c r="A23" s="82" t="s">
        <v>517</v>
      </c>
      <c r="B23" s="83" t="s">
        <v>296</v>
      </c>
      <c r="C23" s="85">
        <v>11</v>
      </c>
      <c r="D23" s="81">
        <v>800</v>
      </c>
    </row>
    <row r="24" spans="1:4" ht="15.75" thickBot="1" x14ac:dyDescent="0.3">
      <c r="A24" s="82" t="s">
        <v>518</v>
      </c>
      <c r="B24" s="83" t="s">
        <v>509</v>
      </c>
      <c r="C24" s="84">
        <v>1</v>
      </c>
      <c r="D24" s="81">
        <v>2900</v>
      </c>
    </row>
    <row r="25" spans="1:4" ht="15.75" thickBot="1" x14ac:dyDescent="0.3">
      <c r="A25" s="82" t="s">
        <v>519</v>
      </c>
      <c r="B25" s="83" t="s">
        <v>511</v>
      </c>
      <c r="C25" s="84">
        <v>1</v>
      </c>
      <c r="D25" s="81">
        <v>6900</v>
      </c>
    </row>
    <row r="26" spans="1:4" ht="15.75" thickBot="1" x14ac:dyDescent="0.3">
      <c r="A26" s="82" t="s">
        <v>520</v>
      </c>
      <c r="B26" s="83" t="s">
        <v>439</v>
      </c>
      <c r="C26" s="86">
        <v>4</v>
      </c>
      <c r="D26" s="81">
        <v>13000</v>
      </c>
    </row>
    <row r="27" spans="1:4" ht="15.75" thickBot="1" x14ac:dyDescent="0.3">
      <c r="A27" s="82" t="s">
        <v>521</v>
      </c>
      <c r="B27" s="83" t="s">
        <v>296</v>
      </c>
      <c r="C27" s="86">
        <v>2</v>
      </c>
      <c r="D27" s="81">
        <v>700</v>
      </c>
    </row>
    <row r="28" spans="1:4" ht="15.75" thickBot="1" x14ac:dyDescent="0.3">
      <c r="A28" s="82" t="s">
        <v>522</v>
      </c>
      <c r="B28" s="83" t="s">
        <v>509</v>
      </c>
      <c r="C28" s="84">
        <v>0</v>
      </c>
      <c r="D28" s="81"/>
    </row>
    <row r="29" spans="1:4" ht="15.75" thickBot="1" x14ac:dyDescent="0.3">
      <c r="A29" s="82" t="s">
        <v>523</v>
      </c>
      <c r="B29" s="83" t="s">
        <v>511</v>
      </c>
      <c r="C29" s="84">
        <v>0</v>
      </c>
      <c r="D29" s="81"/>
    </row>
    <row r="30" spans="1:4" ht="15.75" thickBot="1" x14ac:dyDescent="0.3">
      <c r="A30" s="82" t="s">
        <v>524</v>
      </c>
      <c r="B30" s="83" t="s">
        <v>439</v>
      </c>
      <c r="C30" s="84">
        <v>0</v>
      </c>
      <c r="D30" s="81"/>
    </row>
    <row r="31" spans="1:4" ht="15.75" thickBot="1" x14ac:dyDescent="0.3">
      <c r="A31" s="82" t="s">
        <v>525</v>
      </c>
      <c r="B31" s="83" t="s">
        <v>296</v>
      </c>
      <c r="C31" s="85">
        <v>11</v>
      </c>
      <c r="D31" s="81">
        <v>700</v>
      </c>
    </row>
    <row r="32" spans="1:4" ht="15.75" thickBot="1" x14ac:dyDescent="0.3">
      <c r="A32" s="82" t="s">
        <v>526</v>
      </c>
      <c r="B32" s="83" t="s">
        <v>509</v>
      </c>
      <c r="C32" s="85">
        <v>6</v>
      </c>
      <c r="D32" s="81">
        <v>2500</v>
      </c>
    </row>
    <row r="33" spans="1:4" ht="15.75" thickBot="1" x14ac:dyDescent="0.3">
      <c r="A33" s="82" t="s">
        <v>527</v>
      </c>
      <c r="B33" s="83" t="s">
        <v>511</v>
      </c>
      <c r="C33" s="84">
        <v>1</v>
      </c>
      <c r="D33" s="81">
        <v>6000</v>
      </c>
    </row>
    <row r="34" spans="1:4" ht="15.75" thickBot="1" x14ac:dyDescent="0.3">
      <c r="A34" s="82" t="s">
        <v>528</v>
      </c>
      <c r="B34" s="83" t="s">
        <v>439</v>
      </c>
      <c r="C34" s="84">
        <v>1</v>
      </c>
      <c r="D34" s="81">
        <v>118000</v>
      </c>
    </row>
    <row r="35" spans="1:4" ht="15.75" thickBot="1" x14ac:dyDescent="0.3">
      <c r="A35" s="82" t="s">
        <v>529</v>
      </c>
      <c r="B35" s="83" t="s">
        <v>296</v>
      </c>
      <c r="C35" s="85">
        <v>6</v>
      </c>
      <c r="D35" s="81">
        <v>800</v>
      </c>
    </row>
    <row r="36" spans="1:4" ht="15.75" thickBot="1" x14ac:dyDescent="0.3">
      <c r="A36" s="82" t="s">
        <v>530</v>
      </c>
      <c r="B36" s="83" t="s">
        <v>509</v>
      </c>
      <c r="C36" s="86">
        <v>2</v>
      </c>
      <c r="D36" s="81">
        <v>2900</v>
      </c>
    </row>
    <row r="37" spans="1:4" ht="15.75" thickBot="1" x14ac:dyDescent="0.3">
      <c r="A37" s="82" t="s">
        <v>531</v>
      </c>
      <c r="B37" s="83" t="s">
        <v>511</v>
      </c>
      <c r="C37" s="84">
        <v>0</v>
      </c>
      <c r="D37" s="81">
        <v>6900</v>
      </c>
    </row>
    <row r="38" spans="1:4" ht="15.75" thickBot="1" x14ac:dyDescent="0.3">
      <c r="A38" s="82" t="s">
        <v>532</v>
      </c>
      <c r="B38" s="83" t="s">
        <v>439</v>
      </c>
      <c r="C38" s="84">
        <v>0</v>
      </c>
      <c r="D38" s="81"/>
    </row>
    <row r="39" spans="1:4" ht="15.75" thickBot="1" x14ac:dyDescent="0.3">
      <c r="A39" s="82" t="s">
        <v>533</v>
      </c>
      <c r="B39" s="83" t="s">
        <v>296</v>
      </c>
      <c r="C39" s="84">
        <v>0</v>
      </c>
      <c r="D39" s="81"/>
    </row>
    <row r="40" spans="1:4" ht="15.75" thickBot="1" x14ac:dyDescent="0.3">
      <c r="A40" s="82" t="s">
        <v>534</v>
      </c>
      <c r="B40" s="83" t="s">
        <v>509</v>
      </c>
      <c r="C40" s="84">
        <v>0</v>
      </c>
      <c r="D40" s="81"/>
    </row>
    <row r="41" spans="1:4" ht="15.75" thickBot="1" x14ac:dyDescent="0.3">
      <c r="A41" s="82" t="s">
        <v>535</v>
      </c>
      <c r="B41" s="83" t="s">
        <v>511</v>
      </c>
      <c r="C41" s="84">
        <v>0</v>
      </c>
      <c r="D41" s="81"/>
    </row>
    <row r="42" spans="1:4" ht="15.75" thickBot="1" x14ac:dyDescent="0.3">
      <c r="A42" s="82" t="s">
        <v>536</v>
      </c>
      <c r="B42" s="83" t="s">
        <v>439</v>
      </c>
      <c r="C42" s="84">
        <v>0</v>
      </c>
      <c r="D42" s="81"/>
    </row>
    <row r="43" spans="1:4" ht="15.75" thickBot="1" x14ac:dyDescent="0.3">
      <c r="A43" s="82" t="s">
        <v>537</v>
      </c>
      <c r="B43" s="83" t="s">
        <v>296</v>
      </c>
      <c r="C43" s="84">
        <v>1</v>
      </c>
      <c r="D43" s="81">
        <v>700</v>
      </c>
    </row>
    <row r="44" spans="1:4" ht="15.75" thickBot="1" x14ac:dyDescent="0.3">
      <c r="A44" s="82" t="s">
        <v>538</v>
      </c>
      <c r="B44" s="83" t="s">
        <v>509</v>
      </c>
      <c r="C44" s="86">
        <v>5</v>
      </c>
      <c r="D44" s="64">
        <v>2500</v>
      </c>
    </row>
    <row r="45" spans="1:4" ht="15.75" thickBot="1" x14ac:dyDescent="0.3">
      <c r="A45" s="82" t="s">
        <v>539</v>
      </c>
      <c r="B45" s="83" t="s">
        <v>511</v>
      </c>
      <c r="C45" s="86">
        <v>3</v>
      </c>
      <c r="D45" s="81">
        <v>6000</v>
      </c>
    </row>
    <row r="46" spans="1:4" ht="15.75" thickBot="1" x14ac:dyDescent="0.3">
      <c r="A46" s="82" t="s">
        <v>540</v>
      </c>
      <c r="B46" s="83" t="s">
        <v>439</v>
      </c>
      <c r="C46" s="84">
        <v>1</v>
      </c>
      <c r="D46" s="81">
        <v>11500</v>
      </c>
    </row>
    <row r="47" spans="1:4" ht="15.75" thickBot="1" x14ac:dyDescent="0.3">
      <c r="A47" s="83" t="s">
        <v>541</v>
      </c>
      <c r="B47" s="83" t="s">
        <v>542</v>
      </c>
      <c r="C47" s="84">
        <v>0</v>
      </c>
      <c r="D47" s="81"/>
    </row>
    <row r="48" spans="1:4" ht="15.75" thickBot="1" x14ac:dyDescent="0.3">
      <c r="A48" s="82" t="s">
        <v>543</v>
      </c>
      <c r="B48" s="83" t="s">
        <v>544</v>
      </c>
      <c r="C48" s="85">
        <v>2377</v>
      </c>
      <c r="D48" s="81"/>
    </row>
    <row r="49" spans="1:4" ht="15.75" thickBot="1" x14ac:dyDescent="0.3">
      <c r="A49" s="82" t="s">
        <v>545</v>
      </c>
      <c r="B49" s="83" t="s">
        <v>546</v>
      </c>
      <c r="C49" s="84">
        <v>0</v>
      </c>
      <c r="D49" s="81"/>
    </row>
    <row r="50" spans="1:4" ht="15.75" thickBot="1" x14ac:dyDescent="0.3">
      <c r="A50" s="82" t="s">
        <v>547</v>
      </c>
      <c r="B50" s="83" t="s">
        <v>296</v>
      </c>
      <c r="C50" s="86">
        <v>5</v>
      </c>
      <c r="D50" s="81" t="s">
        <v>548</v>
      </c>
    </row>
    <row r="51" spans="1:4" ht="15.75" thickBot="1" x14ac:dyDescent="0.3">
      <c r="A51" s="82" t="s">
        <v>549</v>
      </c>
      <c r="B51" s="83" t="s">
        <v>509</v>
      </c>
      <c r="C51" s="85">
        <v>6</v>
      </c>
      <c r="D51" s="81"/>
    </row>
    <row r="52" spans="1:4" ht="15.75" thickBot="1" x14ac:dyDescent="0.3">
      <c r="A52" s="82" t="s">
        <v>550</v>
      </c>
      <c r="B52" s="83" t="s">
        <v>511</v>
      </c>
      <c r="C52" s="84">
        <v>1</v>
      </c>
      <c r="D52" s="81"/>
    </row>
    <row r="53" spans="1:4" ht="15.75" thickBot="1" x14ac:dyDescent="0.3">
      <c r="A53" s="82" t="s">
        <v>551</v>
      </c>
      <c r="B53" s="83" t="s">
        <v>439</v>
      </c>
      <c r="C53" s="86">
        <v>2</v>
      </c>
      <c r="D53" s="81"/>
    </row>
    <row r="54" spans="1:4" ht="15.75" thickBot="1" x14ac:dyDescent="0.3">
      <c r="A54" s="82" t="s">
        <v>552</v>
      </c>
      <c r="B54" s="83" t="s">
        <v>546</v>
      </c>
      <c r="C54" s="84">
        <v>0</v>
      </c>
      <c r="D54" s="81"/>
    </row>
    <row r="55" spans="1:4" ht="15.75" thickBot="1" x14ac:dyDescent="0.3">
      <c r="A55" s="82" t="s">
        <v>553</v>
      </c>
      <c r="B55" s="83" t="s">
        <v>296</v>
      </c>
      <c r="C55" s="86">
        <v>4</v>
      </c>
      <c r="D55" s="81"/>
    </row>
    <row r="56" spans="1:4" ht="15.75" thickBot="1" x14ac:dyDescent="0.3">
      <c r="A56" s="82" t="s">
        <v>554</v>
      </c>
      <c r="B56" s="83" t="s">
        <v>509</v>
      </c>
      <c r="C56" s="84">
        <v>0</v>
      </c>
      <c r="D56" s="81"/>
    </row>
    <row r="57" spans="1:4" ht="15.75" thickBot="1" x14ac:dyDescent="0.3">
      <c r="A57" s="82" t="s">
        <v>555</v>
      </c>
      <c r="B57" s="83" t="s">
        <v>511</v>
      </c>
      <c r="C57" s="84">
        <v>0</v>
      </c>
      <c r="D57" s="81"/>
    </row>
    <row r="58" spans="1:4" ht="15.75" thickBot="1" x14ac:dyDescent="0.3">
      <c r="A58" s="82" t="s">
        <v>556</v>
      </c>
      <c r="B58" s="83" t="s">
        <v>439</v>
      </c>
      <c r="C58" s="84">
        <v>0</v>
      </c>
      <c r="D58" s="81"/>
    </row>
    <row r="59" spans="1:4" ht="15.75" thickBot="1" x14ac:dyDescent="0.3">
      <c r="A59" s="82" t="s">
        <v>557</v>
      </c>
      <c r="B59" s="83" t="s">
        <v>546</v>
      </c>
      <c r="C59" s="84">
        <v>0</v>
      </c>
      <c r="D59" s="81"/>
    </row>
    <row r="60" spans="1:4" ht="15.75" thickBot="1" x14ac:dyDescent="0.3">
      <c r="A60" s="82" t="s">
        <v>558</v>
      </c>
      <c r="B60" s="83" t="s">
        <v>296</v>
      </c>
      <c r="C60" s="86">
        <v>3</v>
      </c>
      <c r="D60" s="81"/>
    </row>
    <row r="61" spans="1:4" ht="15.75" thickBot="1" x14ac:dyDescent="0.3">
      <c r="A61" s="82" t="s">
        <v>559</v>
      </c>
      <c r="B61" s="83" t="s">
        <v>509</v>
      </c>
      <c r="C61" s="84">
        <v>1</v>
      </c>
      <c r="D61" s="81"/>
    </row>
    <row r="62" spans="1:4" ht="15.75" thickBot="1" x14ac:dyDescent="0.3">
      <c r="A62" s="82" t="s">
        <v>560</v>
      </c>
      <c r="B62" s="83" t="s">
        <v>511</v>
      </c>
      <c r="C62" s="84">
        <v>1</v>
      </c>
      <c r="D62" s="81"/>
    </row>
    <row r="63" spans="1:4" ht="15.75" thickBot="1" x14ac:dyDescent="0.3">
      <c r="A63" s="82" t="s">
        <v>561</v>
      </c>
      <c r="B63" s="83" t="s">
        <v>439</v>
      </c>
      <c r="C63" s="86">
        <v>2</v>
      </c>
      <c r="D63" s="81"/>
    </row>
    <row r="64" spans="1:4" ht="15.75" thickBot="1" x14ac:dyDescent="0.3">
      <c r="A64" s="82" t="s">
        <v>562</v>
      </c>
      <c r="B64" s="83" t="s">
        <v>546</v>
      </c>
      <c r="C64" s="84">
        <v>0</v>
      </c>
      <c r="D64" s="81"/>
    </row>
    <row r="65" spans="1:4" ht="15.75" thickBot="1" x14ac:dyDescent="0.3">
      <c r="A65" s="82" t="s">
        <v>563</v>
      </c>
      <c r="B65" s="83" t="s">
        <v>296</v>
      </c>
      <c r="C65" s="84">
        <v>0</v>
      </c>
      <c r="D65" s="81"/>
    </row>
    <row r="66" spans="1:4" ht="15.75" thickBot="1" x14ac:dyDescent="0.3">
      <c r="A66" s="82" t="s">
        <v>564</v>
      </c>
      <c r="B66" s="83" t="s">
        <v>509</v>
      </c>
      <c r="C66" s="84">
        <v>0</v>
      </c>
      <c r="D66" s="81"/>
    </row>
    <row r="67" spans="1:4" ht="15.75" thickBot="1" x14ac:dyDescent="0.3">
      <c r="A67" s="82" t="s">
        <v>565</v>
      </c>
      <c r="B67" s="83" t="s">
        <v>511</v>
      </c>
      <c r="C67" s="84">
        <v>0</v>
      </c>
      <c r="D67" s="81"/>
    </row>
    <row r="68" spans="1:4" ht="15.75" thickBot="1" x14ac:dyDescent="0.3">
      <c r="A68" s="82" t="s">
        <v>566</v>
      </c>
      <c r="B68" s="83" t="s">
        <v>439</v>
      </c>
      <c r="C68" s="84">
        <v>0</v>
      </c>
      <c r="D68" s="81"/>
    </row>
    <row r="69" spans="1:4" ht="15.75" thickBot="1" x14ac:dyDescent="0.3">
      <c r="A69" s="82" t="s">
        <v>567</v>
      </c>
      <c r="B69" s="83" t="s">
        <v>546</v>
      </c>
      <c r="C69" s="84">
        <v>0</v>
      </c>
      <c r="D69" s="81"/>
    </row>
    <row r="70" spans="1:4" ht="15.75" thickBot="1" x14ac:dyDescent="0.3">
      <c r="A70" s="82" t="s">
        <v>568</v>
      </c>
      <c r="B70" s="83" t="s">
        <v>296</v>
      </c>
      <c r="C70" s="85">
        <v>11</v>
      </c>
      <c r="D70" s="81"/>
    </row>
    <row r="71" spans="1:4" ht="15.75" thickBot="1" x14ac:dyDescent="0.3">
      <c r="A71" s="82" t="s">
        <v>569</v>
      </c>
      <c r="B71" s="83" t="s">
        <v>509</v>
      </c>
      <c r="C71" s="85">
        <v>6</v>
      </c>
      <c r="D71" s="81"/>
    </row>
    <row r="72" spans="1:4" ht="15.75" thickBot="1" x14ac:dyDescent="0.3">
      <c r="A72" s="82" t="s">
        <v>570</v>
      </c>
      <c r="B72" s="83" t="s">
        <v>511</v>
      </c>
      <c r="C72" s="84">
        <v>0</v>
      </c>
      <c r="D72" s="81"/>
    </row>
    <row r="73" spans="1:4" ht="15.75" thickBot="1" x14ac:dyDescent="0.3">
      <c r="A73" s="82" t="s">
        <v>571</v>
      </c>
      <c r="B73" s="83" t="s">
        <v>439</v>
      </c>
      <c r="C73" s="84">
        <v>0</v>
      </c>
      <c r="D73" s="81"/>
    </row>
    <row r="74" spans="1:4" ht="15.75" thickBot="1" x14ac:dyDescent="0.3">
      <c r="A74" s="82" t="s">
        <v>572</v>
      </c>
      <c r="B74" s="83" t="s">
        <v>546</v>
      </c>
      <c r="C74" s="84">
        <v>0</v>
      </c>
      <c r="D74" s="81"/>
    </row>
    <row r="75" spans="1:4" ht="15.75" thickBot="1" x14ac:dyDescent="0.3">
      <c r="A75" s="82" t="s">
        <v>573</v>
      </c>
      <c r="B75" s="83" t="s">
        <v>296</v>
      </c>
      <c r="C75" s="84">
        <v>0</v>
      </c>
      <c r="D75" s="81"/>
    </row>
    <row r="76" spans="1:4" ht="15.75" thickBot="1" x14ac:dyDescent="0.3">
      <c r="A76" s="82" t="s">
        <v>574</v>
      </c>
      <c r="B76" s="83" t="s">
        <v>509</v>
      </c>
      <c r="C76" s="84">
        <v>0</v>
      </c>
      <c r="D76" s="81"/>
    </row>
    <row r="77" spans="1:4" ht="15.75" thickBot="1" x14ac:dyDescent="0.3">
      <c r="A77" s="82" t="s">
        <v>575</v>
      </c>
      <c r="B77" s="83" t="s">
        <v>511</v>
      </c>
      <c r="C77" s="84">
        <v>0</v>
      </c>
      <c r="D77" s="81"/>
    </row>
    <row r="78" spans="1:4" ht="15.75" thickBot="1" x14ac:dyDescent="0.3">
      <c r="A78" s="82" t="s">
        <v>576</v>
      </c>
      <c r="B78" s="83" t="s">
        <v>439</v>
      </c>
      <c r="C78" s="84">
        <v>0</v>
      </c>
      <c r="D78" s="81"/>
    </row>
    <row r="79" spans="1:4" ht="15.75" thickBot="1" x14ac:dyDescent="0.3">
      <c r="A79" s="82" t="s">
        <v>577</v>
      </c>
      <c r="B79" s="83" t="s">
        <v>546</v>
      </c>
      <c r="C79" s="84">
        <v>0</v>
      </c>
      <c r="D79" s="81"/>
    </row>
    <row r="80" spans="1:4" ht="15.75" thickBot="1" x14ac:dyDescent="0.3">
      <c r="A80" s="82" t="s">
        <v>578</v>
      </c>
      <c r="B80" s="83" t="s">
        <v>296</v>
      </c>
      <c r="C80" s="84">
        <v>0</v>
      </c>
      <c r="D80" s="81"/>
    </row>
    <row r="81" spans="1:4" ht="15.75" thickBot="1" x14ac:dyDescent="0.3">
      <c r="A81" s="82" t="s">
        <v>579</v>
      </c>
      <c r="B81" s="83" t="s">
        <v>509</v>
      </c>
      <c r="C81" s="84">
        <v>0</v>
      </c>
      <c r="D81" s="81"/>
    </row>
    <row r="82" spans="1:4" ht="15.75" thickBot="1" x14ac:dyDescent="0.3">
      <c r="A82" s="82" t="s">
        <v>580</v>
      </c>
      <c r="B82" s="83" t="s">
        <v>511</v>
      </c>
      <c r="C82" s="84">
        <v>0</v>
      </c>
      <c r="D82" s="81"/>
    </row>
    <row r="83" spans="1:4" ht="15.75" thickBot="1" x14ac:dyDescent="0.3">
      <c r="A83" s="82" t="s">
        <v>581</v>
      </c>
      <c r="B83" s="83" t="s">
        <v>439</v>
      </c>
      <c r="C83" s="84">
        <v>0</v>
      </c>
      <c r="D83" s="81"/>
    </row>
    <row r="84" spans="1:4" ht="15.75" thickBot="1" x14ac:dyDescent="0.3">
      <c r="A84" s="82" t="s">
        <v>582</v>
      </c>
      <c r="B84" s="83" t="s">
        <v>546</v>
      </c>
      <c r="C84" s="84">
        <v>0</v>
      </c>
      <c r="D84" s="81"/>
    </row>
    <row r="85" spans="1:4" ht="15.75" thickBot="1" x14ac:dyDescent="0.3">
      <c r="A85" s="82" t="s">
        <v>583</v>
      </c>
      <c r="B85" s="83" t="s">
        <v>296</v>
      </c>
      <c r="C85" s="85">
        <v>6</v>
      </c>
      <c r="D85" s="81"/>
    </row>
    <row r="86" spans="1:4" ht="15.75" thickBot="1" x14ac:dyDescent="0.3">
      <c r="A86" s="82" t="s">
        <v>584</v>
      </c>
      <c r="B86" s="83" t="s">
        <v>509</v>
      </c>
      <c r="C86" s="85">
        <v>6</v>
      </c>
      <c r="D86" s="81"/>
    </row>
    <row r="87" spans="1:4" ht="15.75" thickBot="1" x14ac:dyDescent="0.3">
      <c r="A87" s="82" t="s">
        <v>585</v>
      </c>
      <c r="B87" s="83" t="s">
        <v>511</v>
      </c>
      <c r="C87" s="84">
        <v>0</v>
      </c>
      <c r="D87" s="81"/>
    </row>
    <row r="88" spans="1:4" ht="15.75" thickBot="1" x14ac:dyDescent="0.3">
      <c r="A88" s="82" t="s">
        <v>586</v>
      </c>
      <c r="B88" s="83" t="s">
        <v>439</v>
      </c>
      <c r="C88" s="84">
        <v>0</v>
      </c>
      <c r="D88" s="81"/>
    </row>
    <row r="89" spans="1:4" ht="15.75" thickBot="1" x14ac:dyDescent="0.3">
      <c r="A89" s="82" t="s">
        <v>587</v>
      </c>
      <c r="B89" s="83" t="s">
        <v>296</v>
      </c>
      <c r="C89" s="84">
        <v>0</v>
      </c>
      <c r="D89" s="81"/>
    </row>
    <row r="90" spans="1:4" ht="15.75" thickBot="1" x14ac:dyDescent="0.3">
      <c r="A90" s="82" t="s">
        <v>588</v>
      </c>
      <c r="B90" s="83" t="s">
        <v>589</v>
      </c>
      <c r="C90" s="84">
        <v>0</v>
      </c>
      <c r="D90" s="81"/>
    </row>
    <row r="91" spans="1:4" ht="15.75" thickBot="1" x14ac:dyDescent="0.3">
      <c r="A91" s="82" t="s">
        <v>590</v>
      </c>
      <c r="B91" s="83" t="s">
        <v>591</v>
      </c>
      <c r="C91" s="84">
        <v>0</v>
      </c>
      <c r="D91" s="81"/>
    </row>
    <row r="92" spans="1:4" ht="15.75" thickBot="1" x14ac:dyDescent="0.3">
      <c r="A92" s="82" t="s">
        <v>592</v>
      </c>
      <c r="B92" s="83" t="s">
        <v>593</v>
      </c>
      <c r="C92" s="84">
        <v>0</v>
      </c>
      <c r="D92" s="81"/>
    </row>
    <row r="93" spans="1:4" ht="15.75" thickBot="1" x14ac:dyDescent="0.3">
      <c r="A93" s="82" t="s">
        <v>594</v>
      </c>
      <c r="B93" s="83" t="s">
        <v>546</v>
      </c>
      <c r="C93" s="84">
        <v>0</v>
      </c>
      <c r="D93" s="81"/>
    </row>
    <row r="94" spans="1:4" ht="27" thickBot="1" x14ac:dyDescent="0.3">
      <c r="A94" s="82" t="s">
        <v>595</v>
      </c>
      <c r="B94" s="83" t="s">
        <v>596</v>
      </c>
      <c r="C94" s="85">
        <v>7</v>
      </c>
      <c r="D94" s="81" t="s">
        <v>597</v>
      </c>
    </row>
    <row r="95" spans="1:4" ht="27" thickBot="1" x14ac:dyDescent="0.3">
      <c r="A95" s="82" t="s">
        <v>598</v>
      </c>
      <c r="B95" s="83" t="s">
        <v>296</v>
      </c>
      <c r="C95" s="84">
        <v>1</v>
      </c>
      <c r="D95" s="81" t="s">
        <v>599</v>
      </c>
    </row>
    <row r="96" spans="1:4" ht="15.75" thickBot="1" x14ac:dyDescent="0.3">
      <c r="A96" s="82" t="s">
        <v>600</v>
      </c>
      <c r="B96" s="83" t="s">
        <v>296</v>
      </c>
      <c r="C96" s="86">
        <v>3</v>
      </c>
      <c r="D96" s="81" t="s">
        <v>601</v>
      </c>
    </row>
    <row r="97" spans="1:4" ht="15.75" thickBot="1" x14ac:dyDescent="0.3">
      <c r="A97" s="82" t="s">
        <v>602</v>
      </c>
      <c r="B97" s="83" t="s">
        <v>596</v>
      </c>
      <c r="C97" s="84">
        <v>0</v>
      </c>
      <c r="D97" s="81"/>
    </row>
    <row r="98" spans="1:4" ht="15.75" thickBot="1" x14ac:dyDescent="0.3">
      <c r="A98" s="82" t="s">
        <v>603</v>
      </c>
      <c r="B98" s="83" t="s">
        <v>296</v>
      </c>
      <c r="C98" s="86">
        <v>5</v>
      </c>
      <c r="D98" s="81"/>
    </row>
    <row r="99" spans="1:4" ht="15.75" thickBot="1" x14ac:dyDescent="0.3">
      <c r="A99" s="82" t="s">
        <v>604</v>
      </c>
      <c r="B99" s="83" t="s">
        <v>296</v>
      </c>
      <c r="C99" s="85">
        <v>10</v>
      </c>
      <c r="D99" s="81"/>
    </row>
    <row r="100" spans="1:4" ht="15.75" thickBot="1" x14ac:dyDescent="0.3">
      <c r="A100" s="82" t="s">
        <v>605</v>
      </c>
      <c r="B100" s="83" t="s">
        <v>296</v>
      </c>
      <c r="C100" s="86">
        <v>4</v>
      </c>
      <c r="D100" s="81"/>
    </row>
    <row r="101" spans="1:4" ht="15.75" thickBot="1" x14ac:dyDescent="0.3">
      <c r="A101" s="82" t="s">
        <v>606</v>
      </c>
      <c r="B101" s="83" t="s">
        <v>296</v>
      </c>
      <c r="C101" s="86">
        <v>3</v>
      </c>
      <c r="D101" s="81"/>
    </row>
    <row r="102" spans="1:4" ht="15.75" thickBot="1" x14ac:dyDescent="0.3">
      <c r="A102" s="82" t="s">
        <v>607</v>
      </c>
      <c r="B102" s="83" t="s">
        <v>296</v>
      </c>
      <c r="C102" s="86">
        <v>5</v>
      </c>
      <c r="D102" s="81"/>
    </row>
    <row r="103" spans="1:4" ht="15.75" thickBot="1" x14ac:dyDescent="0.3">
      <c r="A103" s="82" t="s">
        <v>608</v>
      </c>
      <c r="B103" s="83" t="s">
        <v>296</v>
      </c>
      <c r="C103" s="84">
        <v>1</v>
      </c>
      <c r="D103" s="81"/>
    </row>
    <row r="104" spans="1:4" ht="15.75" thickBot="1" x14ac:dyDescent="0.3">
      <c r="A104" s="82" t="s">
        <v>609</v>
      </c>
      <c r="B104" s="83" t="s">
        <v>296</v>
      </c>
      <c r="C104" s="86">
        <v>4</v>
      </c>
      <c r="D104" s="81"/>
    </row>
    <row r="105" spans="1:4" ht="15.75" thickBot="1" x14ac:dyDescent="0.3">
      <c r="A105" s="82" t="s">
        <v>610</v>
      </c>
      <c r="B105" s="83" t="s">
        <v>296</v>
      </c>
      <c r="C105" s="86">
        <v>5</v>
      </c>
      <c r="D105" s="81"/>
    </row>
    <row r="106" spans="1:4" ht="15.75" thickBot="1" x14ac:dyDescent="0.3">
      <c r="A106" s="82" t="s">
        <v>611</v>
      </c>
      <c r="B106" s="83" t="s">
        <v>296</v>
      </c>
      <c r="C106" s="86">
        <v>2</v>
      </c>
      <c r="D106" s="81"/>
    </row>
    <row r="107" spans="1:4" ht="15.75" thickBot="1" x14ac:dyDescent="0.3">
      <c r="A107" s="82" t="s">
        <v>612</v>
      </c>
      <c r="B107" s="83" t="s">
        <v>296</v>
      </c>
      <c r="C107" s="85">
        <v>11</v>
      </c>
      <c r="D107" s="81"/>
    </row>
    <row r="108" spans="1:4" ht="15.75" thickBot="1" x14ac:dyDescent="0.3">
      <c r="A108" s="82" t="s">
        <v>613</v>
      </c>
      <c r="B108" s="83" t="s">
        <v>296</v>
      </c>
      <c r="C108" s="86">
        <v>2</v>
      </c>
      <c r="D108" s="81"/>
    </row>
    <row r="109" spans="1:4" ht="15.75" thickBot="1" x14ac:dyDescent="0.3">
      <c r="A109" s="82" t="s">
        <v>614</v>
      </c>
      <c r="B109" s="83" t="s">
        <v>296</v>
      </c>
      <c r="C109" s="86">
        <v>2</v>
      </c>
      <c r="D109" s="81"/>
    </row>
    <row r="110" spans="1:4" ht="15.75" thickBot="1" x14ac:dyDescent="0.3">
      <c r="A110" s="82" t="s">
        <v>615</v>
      </c>
      <c r="B110" s="83" t="s">
        <v>296</v>
      </c>
      <c r="C110" s="85">
        <v>10</v>
      </c>
      <c r="D110" s="81"/>
    </row>
    <row r="111" spans="1:4" ht="15.75" thickBot="1" x14ac:dyDescent="0.3">
      <c r="A111" s="82" t="s">
        <v>616</v>
      </c>
      <c r="B111" s="83" t="s">
        <v>296</v>
      </c>
      <c r="C111" s="86">
        <v>5</v>
      </c>
      <c r="D111" s="81"/>
    </row>
    <row r="112" spans="1:4" ht="15.75" thickBot="1" x14ac:dyDescent="0.3">
      <c r="A112" s="82" t="s">
        <v>617</v>
      </c>
      <c r="B112" s="83" t="s">
        <v>296</v>
      </c>
      <c r="C112" s="86">
        <v>3</v>
      </c>
      <c r="D112" s="81"/>
    </row>
    <row r="113" spans="1:4" ht="15.75" thickBot="1" x14ac:dyDescent="0.3">
      <c r="A113" s="82" t="s">
        <v>618</v>
      </c>
      <c r="B113" s="83" t="s">
        <v>494</v>
      </c>
      <c r="C113" s="84">
        <v>0</v>
      </c>
      <c r="D113" s="81"/>
    </row>
    <row r="114" spans="1:4" ht="15.75" thickBot="1" x14ac:dyDescent="0.3">
      <c r="A114" s="82" t="s">
        <v>619</v>
      </c>
      <c r="B114" s="83" t="s">
        <v>494</v>
      </c>
      <c r="C114" s="84">
        <v>0</v>
      </c>
      <c r="D114" s="81"/>
    </row>
    <row r="115" spans="1:4" ht="15.75" thickBot="1" x14ac:dyDescent="0.3">
      <c r="A115" s="82" t="s">
        <v>620</v>
      </c>
      <c r="B115" s="83" t="s">
        <v>494</v>
      </c>
      <c r="C115" s="84">
        <v>0</v>
      </c>
      <c r="D115" s="81"/>
    </row>
    <row r="116" spans="1:4" ht="15.75" thickBot="1" x14ac:dyDescent="0.3">
      <c r="A116" s="82" t="s">
        <v>621</v>
      </c>
      <c r="B116" s="83" t="s">
        <v>494</v>
      </c>
      <c r="C116" s="84">
        <v>0</v>
      </c>
      <c r="D116" s="81"/>
    </row>
    <row r="117" spans="1:4" ht="15.75" thickBot="1" x14ac:dyDescent="0.3">
      <c r="A117" s="82" t="s">
        <v>622</v>
      </c>
      <c r="B117" s="83" t="s">
        <v>494</v>
      </c>
      <c r="C117" s="84">
        <v>0</v>
      </c>
      <c r="D117" s="81"/>
    </row>
    <row r="118" spans="1:4" ht="15.75" thickBot="1" x14ac:dyDescent="0.3">
      <c r="A118" s="82" t="s">
        <v>623</v>
      </c>
      <c r="B118" s="83" t="s">
        <v>494</v>
      </c>
      <c r="C118" s="84">
        <v>0</v>
      </c>
      <c r="D118" s="81"/>
    </row>
    <row r="119" spans="1:4" ht="15.75" thickBot="1" x14ac:dyDescent="0.3">
      <c r="A119" s="82" t="s">
        <v>624</v>
      </c>
      <c r="B119" s="83" t="s">
        <v>494</v>
      </c>
      <c r="C119" s="84">
        <v>0</v>
      </c>
      <c r="D119" s="81"/>
    </row>
    <row r="120" spans="1:4" ht="15.75" thickBot="1" x14ac:dyDescent="0.3">
      <c r="A120" s="82" t="s">
        <v>625</v>
      </c>
      <c r="B120" s="83" t="s">
        <v>494</v>
      </c>
      <c r="C120" s="84">
        <v>0</v>
      </c>
      <c r="D120" s="81"/>
    </row>
    <row r="121" spans="1:4" ht="15.75" thickBot="1" x14ac:dyDescent="0.3">
      <c r="A121" s="82" t="s">
        <v>626</v>
      </c>
      <c r="B121" s="83" t="s">
        <v>544</v>
      </c>
      <c r="C121" s="84">
        <v>0</v>
      </c>
      <c r="D121" s="81"/>
    </row>
    <row r="122" spans="1:4" ht="15.75" thickBot="1" x14ac:dyDescent="0.3">
      <c r="A122" s="82" t="s">
        <v>627</v>
      </c>
      <c r="B122" s="83" t="s">
        <v>494</v>
      </c>
      <c r="C122" s="84">
        <v>0</v>
      </c>
      <c r="D122" s="81"/>
    </row>
    <row r="123" spans="1:4" ht="15.75" thickBot="1" x14ac:dyDescent="0.3">
      <c r="A123" s="82" t="s">
        <v>628</v>
      </c>
      <c r="B123" s="83" t="s">
        <v>296</v>
      </c>
      <c r="C123" s="84">
        <v>0</v>
      </c>
      <c r="D123" s="81"/>
    </row>
    <row r="124" spans="1:4" ht="15.75" thickBot="1" x14ac:dyDescent="0.3">
      <c r="A124" s="82" t="s">
        <v>629</v>
      </c>
      <c r="B124" s="83" t="s">
        <v>509</v>
      </c>
      <c r="C124" s="84">
        <v>0</v>
      </c>
      <c r="D124" s="81"/>
    </row>
    <row r="125" spans="1:4" ht="15.75" thickBot="1" x14ac:dyDescent="0.3">
      <c r="A125" s="82" t="s">
        <v>630</v>
      </c>
      <c r="B125" s="83" t="s">
        <v>296</v>
      </c>
      <c r="C125" s="84">
        <v>0</v>
      </c>
      <c r="D125" s="81"/>
    </row>
    <row r="126" spans="1:4" ht="15.75" thickBot="1" x14ac:dyDescent="0.3">
      <c r="A126" s="82" t="s">
        <v>631</v>
      </c>
      <c r="B126" s="83" t="s">
        <v>509</v>
      </c>
      <c r="C126" s="84">
        <v>0</v>
      </c>
      <c r="D126" s="81"/>
    </row>
    <row r="127" spans="1:4" ht="15.75" thickBot="1" x14ac:dyDescent="0.3">
      <c r="A127" s="82" t="s">
        <v>632</v>
      </c>
      <c r="B127" s="83" t="s">
        <v>511</v>
      </c>
      <c r="C127" s="84">
        <v>0</v>
      </c>
      <c r="D127" s="81"/>
    </row>
    <row r="128" spans="1:4" ht="15.75" thickBot="1" x14ac:dyDescent="0.3">
      <c r="A128" s="82" t="s">
        <v>633</v>
      </c>
      <c r="B128" s="83" t="s">
        <v>439</v>
      </c>
      <c r="C128" s="84">
        <v>0</v>
      </c>
      <c r="D128" s="81"/>
    </row>
    <row r="129" spans="1:4" ht="15.75" thickBot="1" x14ac:dyDescent="0.3">
      <c r="A129" s="82" t="s">
        <v>634</v>
      </c>
      <c r="B129" s="83" t="s">
        <v>296</v>
      </c>
      <c r="C129" s="84">
        <v>0</v>
      </c>
      <c r="D129" s="81"/>
    </row>
    <row r="130" spans="1:4" ht="15.75" thickBot="1" x14ac:dyDescent="0.3">
      <c r="A130" s="82" t="s">
        <v>635</v>
      </c>
      <c r="B130" s="83" t="s">
        <v>509</v>
      </c>
      <c r="C130" s="84">
        <v>0</v>
      </c>
      <c r="D130" s="81"/>
    </row>
    <row r="131" spans="1:4" ht="15.75" thickBot="1" x14ac:dyDescent="0.3">
      <c r="A131" s="82" t="s">
        <v>636</v>
      </c>
      <c r="B131" s="83" t="s">
        <v>511</v>
      </c>
      <c r="C131" s="84">
        <v>0</v>
      </c>
      <c r="D131" s="81"/>
    </row>
    <row r="132" spans="1:4" ht="15.75" thickBot="1" x14ac:dyDescent="0.3">
      <c r="A132" s="82" t="s">
        <v>637</v>
      </c>
      <c r="B132" s="83" t="s">
        <v>439</v>
      </c>
      <c r="C132" s="84">
        <v>0</v>
      </c>
      <c r="D132" s="81"/>
    </row>
    <row r="133" spans="1:4" ht="15.75" thickBot="1" x14ac:dyDescent="0.3">
      <c r="A133" s="82" t="s">
        <v>638</v>
      </c>
      <c r="B133" s="83" t="s">
        <v>296</v>
      </c>
      <c r="C133" s="84">
        <v>0</v>
      </c>
      <c r="D133" s="81"/>
    </row>
    <row r="134" spans="1:4" ht="15.75" thickBot="1" x14ac:dyDescent="0.3">
      <c r="A134" s="82" t="s">
        <v>639</v>
      </c>
      <c r="B134" s="83" t="s">
        <v>509</v>
      </c>
      <c r="C134" s="84">
        <v>0</v>
      </c>
      <c r="D134" s="81"/>
    </row>
    <row r="135" spans="1:4" ht="15.75" thickBot="1" x14ac:dyDescent="0.3">
      <c r="A135" s="82" t="s">
        <v>640</v>
      </c>
      <c r="B135" s="83" t="s">
        <v>511</v>
      </c>
      <c r="C135" s="84">
        <v>0</v>
      </c>
      <c r="D135" s="81"/>
    </row>
    <row r="136" spans="1:4" ht="15.75" thickBot="1" x14ac:dyDescent="0.3">
      <c r="A136" s="82" t="s">
        <v>641</v>
      </c>
      <c r="B136" s="83" t="s">
        <v>296</v>
      </c>
      <c r="C136" s="84">
        <v>0</v>
      </c>
      <c r="D136" s="81"/>
    </row>
    <row r="137" spans="1:4" ht="15.75" thickBot="1" x14ac:dyDescent="0.3">
      <c r="A137" s="82" t="s">
        <v>642</v>
      </c>
      <c r="B137" s="83" t="s">
        <v>509</v>
      </c>
      <c r="C137" s="84">
        <v>0</v>
      </c>
      <c r="D137" s="81"/>
    </row>
    <row r="138" spans="1:4" ht="15.75" thickBot="1" x14ac:dyDescent="0.3">
      <c r="A138" s="82" t="s">
        <v>643</v>
      </c>
      <c r="B138" s="83" t="s">
        <v>296</v>
      </c>
      <c r="C138" s="84">
        <v>0</v>
      </c>
      <c r="D138" s="81"/>
    </row>
    <row r="139" spans="1:4" ht="15.75" thickBot="1" x14ac:dyDescent="0.3">
      <c r="A139" s="82" t="s">
        <v>644</v>
      </c>
      <c r="B139" s="83" t="s">
        <v>509</v>
      </c>
      <c r="C139" s="84">
        <v>0</v>
      </c>
      <c r="D139" s="81"/>
    </row>
    <row r="140" spans="1:4" ht="15.75" thickBot="1" x14ac:dyDescent="0.3">
      <c r="A140" s="82" t="s">
        <v>645</v>
      </c>
      <c r="B140" s="83" t="s">
        <v>511</v>
      </c>
      <c r="C140" s="84">
        <v>0</v>
      </c>
      <c r="D140" s="81"/>
    </row>
    <row r="141" spans="1:4" ht="15.75" thickBot="1" x14ac:dyDescent="0.3">
      <c r="A141" s="82" t="s">
        <v>646</v>
      </c>
      <c r="B141" s="83" t="s">
        <v>544</v>
      </c>
      <c r="C141" s="84">
        <v>0</v>
      </c>
      <c r="D141" s="81"/>
    </row>
    <row r="142" spans="1:4" ht="15.75" thickBot="1" x14ac:dyDescent="0.3">
      <c r="A142" s="82" t="s">
        <v>647</v>
      </c>
      <c r="B142" s="83" t="s">
        <v>544</v>
      </c>
      <c r="C142" s="84">
        <v>0</v>
      </c>
      <c r="D142" s="81"/>
    </row>
    <row r="143" spans="1:4" ht="15.75" thickBot="1" x14ac:dyDescent="0.3">
      <c r="A143" s="82" t="s">
        <v>648</v>
      </c>
      <c r="B143" s="83" t="s">
        <v>296</v>
      </c>
      <c r="C143" s="84">
        <v>0</v>
      </c>
      <c r="D143" s="81"/>
    </row>
    <row r="144" spans="1:4" ht="15.75" thickBot="1" x14ac:dyDescent="0.3">
      <c r="A144" s="82" t="s">
        <v>649</v>
      </c>
      <c r="B144" s="83" t="s">
        <v>509</v>
      </c>
      <c r="C144" s="84">
        <v>0</v>
      </c>
      <c r="D144" s="81"/>
    </row>
    <row r="145" spans="1:4" ht="15.75" thickBot="1" x14ac:dyDescent="0.3">
      <c r="A145" s="82" t="s">
        <v>650</v>
      </c>
      <c r="B145" s="83" t="s">
        <v>511</v>
      </c>
      <c r="C145" s="84">
        <v>0</v>
      </c>
      <c r="D145" s="81"/>
    </row>
    <row r="146" spans="1:4" ht="15.75" thickBot="1" x14ac:dyDescent="0.3">
      <c r="A146" s="82" t="s">
        <v>651</v>
      </c>
      <c r="B146" s="83" t="s">
        <v>439</v>
      </c>
      <c r="C146" s="84">
        <v>0</v>
      </c>
      <c r="D146" s="81"/>
    </row>
    <row r="147" spans="1:4" ht="15.75" thickBot="1" x14ac:dyDescent="0.3">
      <c r="A147" s="82" t="s">
        <v>652</v>
      </c>
      <c r="B147" s="83" t="s">
        <v>494</v>
      </c>
      <c r="C147" s="84">
        <v>0</v>
      </c>
      <c r="D147" s="81"/>
    </row>
    <row r="148" spans="1:4" ht="15.75" thickBot="1" x14ac:dyDescent="0.3">
      <c r="A148" s="82" t="s">
        <v>653</v>
      </c>
      <c r="B148" s="83" t="s">
        <v>494</v>
      </c>
      <c r="C148" s="84">
        <v>0</v>
      </c>
      <c r="D148" s="81"/>
    </row>
    <row r="149" spans="1:4" ht="15.75" thickBot="1" x14ac:dyDescent="0.3">
      <c r="A149" s="82" t="s">
        <v>654</v>
      </c>
      <c r="B149" s="83" t="s">
        <v>494</v>
      </c>
      <c r="C149" s="84">
        <v>0</v>
      </c>
      <c r="D149" s="81"/>
    </row>
    <row r="150" spans="1:4" ht="15.75" thickBot="1" x14ac:dyDescent="0.3">
      <c r="A150" s="82" t="s">
        <v>655</v>
      </c>
      <c r="B150" s="83" t="s">
        <v>494</v>
      </c>
      <c r="C150" s="84">
        <v>0</v>
      </c>
      <c r="D150" s="81"/>
    </row>
    <row r="151" spans="1:4" ht="15.75" thickBot="1" x14ac:dyDescent="0.3">
      <c r="A151" s="82" t="s">
        <v>656</v>
      </c>
      <c r="B151" s="83" t="s">
        <v>494</v>
      </c>
      <c r="C151" s="84">
        <v>0</v>
      </c>
      <c r="D151" s="81"/>
    </row>
    <row r="152" spans="1:4" ht="15.75" thickBot="1" x14ac:dyDescent="0.3">
      <c r="A152" s="82" t="s">
        <v>657</v>
      </c>
      <c r="B152" s="83" t="s">
        <v>494</v>
      </c>
      <c r="C152" s="84">
        <v>0</v>
      </c>
      <c r="D152" s="81"/>
    </row>
    <row r="153" spans="1:4" ht="15.75" thickBot="1" x14ac:dyDescent="0.3">
      <c r="A153" s="82" t="s">
        <v>658</v>
      </c>
      <c r="B153" s="83" t="s">
        <v>494</v>
      </c>
      <c r="C153" s="84">
        <v>0</v>
      </c>
      <c r="D153" s="81"/>
    </row>
    <row r="154" spans="1:4" ht="15.75" thickBot="1" x14ac:dyDescent="0.3">
      <c r="A154" s="87" t="s">
        <v>659</v>
      </c>
      <c r="B154" s="83" t="s">
        <v>494</v>
      </c>
      <c r="C154" s="84">
        <v>0</v>
      </c>
      <c r="D154" s="81"/>
    </row>
    <row r="155" spans="1:4" ht="15.75" thickBot="1" x14ac:dyDescent="0.3">
      <c r="A155" s="82" t="s">
        <v>660</v>
      </c>
      <c r="B155" s="83" t="s">
        <v>494</v>
      </c>
      <c r="C155" s="84">
        <v>0</v>
      </c>
      <c r="D155" s="81"/>
    </row>
    <row r="156" spans="1:4" ht="15.75" thickBot="1" x14ac:dyDescent="0.3">
      <c r="A156" s="82" t="s">
        <v>661</v>
      </c>
      <c r="B156" s="83" t="s">
        <v>494</v>
      </c>
      <c r="C156" s="84">
        <v>0</v>
      </c>
      <c r="D156" s="81"/>
    </row>
    <row r="157" spans="1:4" ht="15.75" thickBot="1" x14ac:dyDescent="0.3">
      <c r="A157" s="82" t="s">
        <v>662</v>
      </c>
      <c r="B157" s="83" t="s">
        <v>494</v>
      </c>
      <c r="C157" s="84">
        <v>0</v>
      </c>
      <c r="D157" s="81"/>
    </row>
    <row r="158" spans="1:4" ht="15.75" thickBot="1" x14ac:dyDescent="0.3">
      <c r="A158" s="82" t="s">
        <v>663</v>
      </c>
      <c r="B158" s="83" t="s">
        <v>296</v>
      </c>
      <c r="C158" s="84">
        <v>0</v>
      </c>
      <c r="D158" s="81"/>
    </row>
    <row r="159" spans="1:4" ht="15.75" thickBot="1" x14ac:dyDescent="0.3">
      <c r="A159" s="82" t="s">
        <v>664</v>
      </c>
      <c r="B159" s="83" t="s">
        <v>296</v>
      </c>
      <c r="C159" s="84">
        <v>0</v>
      </c>
      <c r="D159" s="81" t="s">
        <v>665</v>
      </c>
    </row>
    <row r="160" spans="1:4" ht="15.75" thickBot="1" x14ac:dyDescent="0.3">
      <c r="A160" s="82" t="s">
        <v>666</v>
      </c>
      <c r="B160" s="83" t="s">
        <v>509</v>
      </c>
      <c r="C160" s="85">
        <v>23</v>
      </c>
      <c r="D160" s="81"/>
    </row>
    <row r="161" spans="1:4" ht="15.75" thickBot="1" x14ac:dyDescent="0.3">
      <c r="A161" s="82" t="s">
        <v>667</v>
      </c>
      <c r="B161" s="83" t="s">
        <v>511</v>
      </c>
      <c r="C161" s="84">
        <v>0</v>
      </c>
      <c r="D161" s="81"/>
    </row>
    <row r="162" spans="1:4" ht="15.75" thickBot="1" x14ac:dyDescent="0.3">
      <c r="A162" s="82" t="s">
        <v>668</v>
      </c>
      <c r="B162" s="83" t="s">
        <v>439</v>
      </c>
      <c r="C162" s="84">
        <v>1</v>
      </c>
      <c r="D162" s="81"/>
    </row>
    <row r="163" spans="1:4" ht="15.75" thickBot="1" x14ac:dyDescent="0.3">
      <c r="A163" s="82" t="s">
        <v>669</v>
      </c>
      <c r="B163" s="83" t="s">
        <v>296</v>
      </c>
      <c r="C163" s="86">
        <v>5</v>
      </c>
      <c r="D163" s="81"/>
    </row>
    <row r="164" spans="1:4" ht="15.75" thickBot="1" x14ac:dyDescent="0.3">
      <c r="A164" s="82" t="s">
        <v>670</v>
      </c>
      <c r="B164" s="83" t="s">
        <v>509</v>
      </c>
      <c r="C164" s="84">
        <v>0</v>
      </c>
      <c r="D164" s="81"/>
    </row>
    <row r="165" spans="1:4" ht="15.75" thickBot="1" x14ac:dyDescent="0.3">
      <c r="A165" s="82" t="s">
        <v>671</v>
      </c>
      <c r="B165" s="83" t="s">
        <v>511</v>
      </c>
      <c r="C165" s="84">
        <v>0</v>
      </c>
      <c r="D165" s="81"/>
    </row>
    <row r="166" spans="1:4" ht="15.75" thickBot="1" x14ac:dyDescent="0.3">
      <c r="A166" s="82" t="s">
        <v>672</v>
      </c>
      <c r="B166" s="83" t="s">
        <v>439</v>
      </c>
      <c r="C166" s="84">
        <v>0</v>
      </c>
      <c r="D166" s="81"/>
    </row>
    <row r="167" spans="1:4" ht="15.75" thickBot="1" x14ac:dyDescent="0.3">
      <c r="A167" s="82" t="s">
        <v>673</v>
      </c>
      <c r="B167" s="83" t="s">
        <v>296</v>
      </c>
      <c r="C167" s="84">
        <v>0</v>
      </c>
      <c r="D167" s="81"/>
    </row>
    <row r="168" spans="1:4" ht="15.75" thickBot="1" x14ac:dyDescent="0.3">
      <c r="A168" s="82" t="s">
        <v>674</v>
      </c>
      <c r="B168" s="83" t="s">
        <v>509</v>
      </c>
      <c r="C168" s="84">
        <v>0</v>
      </c>
      <c r="D168" s="81"/>
    </row>
    <row r="169" spans="1:4" ht="15.75" thickBot="1" x14ac:dyDescent="0.3">
      <c r="A169" s="82" t="s">
        <v>675</v>
      </c>
      <c r="B169" s="83" t="s">
        <v>511</v>
      </c>
      <c r="C169" s="84">
        <v>0</v>
      </c>
      <c r="D169" s="81"/>
    </row>
    <row r="170" spans="1:4" ht="15.75" thickBot="1" x14ac:dyDescent="0.3">
      <c r="A170" s="82" t="s">
        <v>676</v>
      </c>
      <c r="B170" s="83" t="s">
        <v>677</v>
      </c>
      <c r="C170" s="85">
        <v>30</v>
      </c>
      <c r="D170" s="81"/>
    </row>
    <row r="171" spans="1:4" ht="15.75" thickBot="1" x14ac:dyDescent="0.3">
      <c r="A171" s="82" t="s">
        <v>678</v>
      </c>
      <c r="B171" s="83" t="s">
        <v>544</v>
      </c>
      <c r="C171" s="84">
        <v>0</v>
      </c>
      <c r="D171" s="88"/>
    </row>
    <row r="172" spans="1:4" ht="15.75" thickBot="1" x14ac:dyDescent="0.3">
      <c r="A172" s="82" t="s">
        <v>679</v>
      </c>
      <c r="B172" s="83" t="s">
        <v>596</v>
      </c>
      <c r="C172" s="84">
        <v>0</v>
      </c>
      <c r="D172" s="83"/>
    </row>
    <row r="173" spans="1:4" ht="15.75" thickBot="1" x14ac:dyDescent="0.3">
      <c r="A173" s="82" t="s">
        <v>680</v>
      </c>
      <c r="B173" s="83" t="s">
        <v>596</v>
      </c>
      <c r="C173" s="84">
        <v>0</v>
      </c>
      <c r="D173" s="81"/>
    </row>
    <row r="174" spans="1:4" ht="15.75" thickBot="1" x14ac:dyDescent="0.3">
      <c r="A174" s="83" t="s">
        <v>681</v>
      </c>
      <c r="B174" s="83" t="s">
        <v>296</v>
      </c>
      <c r="C174" s="84">
        <v>0</v>
      </c>
      <c r="D174" s="81"/>
    </row>
    <row r="175" spans="1:4" ht="15.75" thickBot="1" x14ac:dyDescent="0.3">
      <c r="A175" s="82" t="s">
        <v>682</v>
      </c>
      <c r="B175" s="83" t="s">
        <v>296</v>
      </c>
      <c r="C175" s="84">
        <v>0</v>
      </c>
      <c r="D175" s="81"/>
    </row>
    <row r="176" spans="1:4" ht="15.75" thickBot="1" x14ac:dyDescent="0.3">
      <c r="A176" s="82" t="s">
        <v>683</v>
      </c>
      <c r="B176" s="83" t="s">
        <v>596</v>
      </c>
      <c r="C176" s="84">
        <v>0</v>
      </c>
      <c r="D176" s="81"/>
    </row>
    <row r="177" spans="1:4" ht="15.75" thickBot="1" x14ac:dyDescent="0.3">
      <c r="A177" s="82" t="s">
        <v>684</v>
      </c>
      <c r="B177" s="83" t="s">
        <v>596</v>
      </c>
      <c r="C177" s="84">
        <v>0</v>
      </c>
      <c r="D177" s="81"/>
    </row>
    <row r="178" spans="1:4" ht="15.75" thickBot="1" x14ac:dyDescent="0.3">
      <c r="A178" s="82" t="s">
        <v>685</v>
      </c>
      <c r="B178" s="83" t="s">
        <v>596</v>
      </c>
      <c r="C178" s="84">
        <v>0</v>
      </c>
      <c r="D178" s="81"/>
    </row>
    <row r="179" spans="1:4" ht="15.75" thickBot="1" x14ac:dyDescent="0.3">
      <c r="A179" s="82" t="s">
        <v>686</v>
      </c>
      <c r="B179" s="83" t="s">
        <v>296</v>
      </c>
      <c r="C179" s="84">
        <v>0</v>
      </c>
      <c r="D179" s="81"/>
    </row>
    <row r="180" spans="1:4" ht="15.75" thickBot="1" x14ac:dyDescent="0.3">
      <c r="A180" s="82" t="s">
        <v>687</v>
      </c>
      <c r="B180" s="83" t="s">
        <v>296</v>
      </c>
      <c r="C180" s="84">
        <v>0</v>
      </c>
      <c r="D180" s="81"/>
    </row>
    <row r="181" spans="1:4" ht="15.75" thickBot="1" x14ac:dyDescent="0.3">
      <c r="A181" s="82" t="s">
        <v>688</v>
      </c>
      <c r="B181" s="89" t="e">
        <v>#REF!</v>
      </c>
      <c r="C181" s="84">
        <v>0</v>
      </c>
      <c r="D181" s="81"/>
    </row>
    <row r="182" spans="1:4" ht="15.75" thickBot="1" x14ac:dyDescent="0.3">
      <c r="A182" s="82" t="s">
        <v>689</v>
      </c>
      <c r="B182" s="83" t="s">
        <v>509</v>
      </c>
      <c r="C182" s="84">
        <v>0</v>
      </c>
      <c r="D182" s="81"/>
    </row>
    <row r="183" spans="1:4" ht="15.75" thickBot="1" x14ac:dyDescent="0.3">
      <c r="A183" s="82" t="s">
        <v>690</v>
      </c>
      <c r="B183" s="83" t="s">
        <v>509</v>
      </c>
      <c r="C183" s="84">
        <v>0</v>
      </c>
      <c r="D183" s="81"/>
    </row>
    <row r="184" spans="1:4" ht="15.75" thickBot="1" x14ac:dyDescent="0.3">
      <c r="A184" s="82" t="s">
        <v>691</v>
      </c>
      <c r="B184" s="83" t="s">
        <v>494</v>
      </c>
      <c r="C184" s="84">
        <v>0</v>
      </c>
      <c r="D184" s="81"/>
    </row>
    <row r="185" spans="1:4" ht="15.75" thickBot="1" x14ac:dyDescent="0.3">
      <c r="A185" s="82" t="s">
        <v>692</v>
      </c>
      <c r="B185" s="83" t="s">
        <v>494</v>
      </c>
      <c r="C185" s="84">
        <v>0</v>
      </c>
      <c r="D185" s="81"/>
    </row>
    <row r="186" spans="1:4" ht="15.75" thickBot="1" x14ac:dyDescent="0.3">
      <c r="A186" s="82" t="s">
        <v>693</v>
      </c>
      <c r="B186" s="83" t="s">
        <v>544</v>
      </c>
      <c r="C186" s="84">
        <v>0</v>
      </c>
      <c r="D186" s="81"/>
    </row>
    <row r="187" spans="1:4" ht="15.75" thickBot="1" x14ac:dyDescent="0.3">
      <c r="A187" s="82" t="s">
        <v>694</v>
      </c>
      <c r="B187" s="83" t="s">
        <v>544</v>
      </c>
      <c r="C187" s="84">
        <v>0</v>
      </c>
      <c r="D187" s="81"/>
    </row>
    <row r="188" spans="1:4" ht="15.75" thickBot="1" x14ac:dyDescent="0.3">
      <c r="A188" s="82" t="s">
        <v>695</v>
      </c>
      <c r="B188" s="83" t="s">
        <v>677</v>
      </c>
      <c r="C188" s="85">
        <v>6</v>
      </c>
      <c r="D188" s="81"/>
    </row>
    <row r="189" spans="1:4" ht="15.75" thickBot="1" x14ac:dyDescent="0.3">
      <c r="A189" s="82" t="s">
        <v>696</v>
      </c>
      <c r="B189" s="83"/>
      <c r="C189" s="83"/>
      <c r="D189" s="81"/>
    </row>
    <row r="190" spans="1:4" ht="15.75" thickBot="1" x14ac:dyDescent="0.3">
      <c r="A190" s="82" t="s">
        <v>697</v>
      </c>
      <c r="B190" s="83" t="s">
        <v>544</v>
      </c>
      <c r="C190" s="84">
        <v>0</v>
      </c>
      <c r="D190" s="81"/>
    </row>
    <row r="191" spans="1:4" ht="15.75" thickBot="1" x14ac:dyDescent="0.3">
      <c r="A191" s="82" t="s">
        <v>698</v>
      </c>
      <c r="B191" s="83" t="s">
        <v>494</v>
      </c>
      <c r="C191" s="84">
        <v>0</v>
      </c>
      <c r="D191" s="81"/>
    </row>
    <row r="192" spans="1:4" ht="15.75" thickBot="1" x14ac:dyDescent="0.3">
      <c r="A192" s="82" t="s">
        <v>699</v>
      </c>
      <c r="B192" s="83" t="s">
        <v>494</v>
      </c>
      <c r="C192" s="84">
        <v>0</v>
      </c>
      <c r="D192" s="81"/>
    </row>
    <row r="193" spans="1:4" ht="15.75" thickBot="1" x14ac:dyDescent="0.3">
      <c r="A193" s="82" t="s">
        <v>700</v>
      </c>
      <c r="B193" s="83" t="s">
        <v>494</v>
      </c>
      <c r="C193" s="84">
        <v>0</v>
      </c>
      <c r="D193" s="81"/>
    </row>
    <row r="194" spans="1:4" ht="15.75" thickBot="1" x14ac:dyDescent="0.3">
      <c r="A194" s="82" t="s">
        <v>701</v>
      </c>
      <c r="B194" s="83" t="s">
        <v>494</v>
      </c>
      <c r="C194" s="84">
        <v>0</v>
      </c>
      <c r="D194" s="81"/>
    </row>
    <row r="195" spans="1:4" ht="15.75" thickBot="1" x14ac:dyDescent="0.3">
      <c r="A195" s="90" t="s">
        <v>702</v>
      </c>
      <c r="B195" s="83" t="s">
        <v>494</v>
      </c>
      <c r="C195" s="84">
        <v>0</v>
      </c>
      <c r="D195" s="81"/>
    </row>
    <row r="196" spans="1:4" ht="15.75" thickBot="1" x14ac:dyDescent="0.3">
      <c r="A196" s="82" t="s">
        <v>703</v>
      </c>
      <c r="B196" s="83" t="s">
        <v>494</v>
      </c>
      <c r="C196" s="84">
        <v>0</v>
      </c>
      <c r="D196" s="81"/>
    </row>
    <row r="197" spans="1:4" ht="15.75" thickBot="1" x14ac:dyDescent="0.3">
      <c r="A197" s="82" t="s">
        <v>704</v>
      </c>
      <c r="B197" s="83" t="s">
        <v>494</v>
      </c>
      <c r="C197" s="84">
        <v>0</v>
      </c>
      <c r="D197" s="81"/>
    </row>
    <row r="198" spans="1:4" ht="15.75" thickBot="1" x14ac:dyDescent="0.3">
      <c r="A198" s="82" t="s">
        <v>705</v>
      </c>
      <c r="B198" s="83" t="s">
        <v>677</v>
      </c>
      <c r="C198" s="84">
        <v>0</v>
      </c>
      <c r="D198" s="81"/>
    </row>
    <row r="199" spans="1:4" ht="15.75" thickBot="1" x14ac:dyDescent="0.3">
      <c r="A199" s="82" t="s">
        <v>706</v>
      </c>
      <c r="B199" s="83" t="s">
        <v>494</v>
      </c>
      <c r="C199" s="84">
        <v>0</v>
      </c>
      <c r="D199" s="81"/>
    </row>
    <row r="200" spans="1:4" ht="15.75" thickBot="1" x14ac:dyDescent="0.3">
      <c r="A200" s="82" t="s">
        <v>707</v>
      </c>
      <c r="B200" s="83" t="s">
        <v>296</v>
      </c>
      <c r="C200" s="85">
        <v>9</v>
      </c>
      <c r="D200" s="81"/>
    </row>
    <row r="201" spans="1:4" ht="15.75" thickBot="1" x14ac:dyDescent="0.3">
      <c r="A201" s="82" t="s">
        <v>708</v>
      </c>
      <c r="B201" s="83" t="s">
        <v>509</v>
      </c>
      <c r="C201" s="85">
        <v>11</v>
      </c>
      <c r="D201" s="81"/>
    </row>
    <row r="202" spans="1:4" ht="15.75" thickBot="1" x14ac:dyDescent="0.3">
      <c r="A202" s="82" t="s">
        <v>709</v>
      </c>
      <c r="B202" s="83" t="s">
        <v>511</v>
      </c>
      <c r="C202" s="86">
        <v>2</v>
      </c>
      <c r="D202" s="81"/>
    </row>
    <row r="203" spans="1:4" ht="15.75" thickBot="1" x14ac:dyDescent="0.3">
      <c r="A203" s="82" t="s">
        <v>710</v>
      </c>
      <c r="B203" s="83" t="s">
        <v>439</v>
      </c>
      <c r="C203" s="85">
        <v>13</v>
      </c>
      <c r="D203" s="81"/>
    </row>
    <row r="204" spans="1:4" ht="15.75" thickBot="1" x14ac:dyDescent="0.3">
      <c r="A204" s="82" t="s">
        <v>711</v>
      </c>
      <c r="B204" s="83" t="s">
        <v>296</v>
      </c>
      <c r="C204" s="84">
        <v>0</v>
      </c>
      <c r="D204" s="81"/>
    </row>
    <row r="205" spans="1:4" ht="15.75" thickBot="1" x14ac:dyDescent="0.3">
      <c r="A205" s="82" t="s">
        <v>712</v>
      </c>
      <c r="B205" s="83" t="s">
        <v>509</v>
      </c>
      <c r="C205" s="84">
        <v>0</v>
      </c>
      <c r="D205" s="81"/>
    </row>
    <row r="206" spans="1:4" ht="15.75" thickBot="1" x14ac:dyDescent="0.3">
      <c r="A206" s="82" t="s">
        <v>713</v>
      </c>
      <c r="B206" s="83" t="s">
        <v>511</v>
      </c>
      <c r="C206" s="84">
        <v>0</v>
      </c>
      <c r="D206" s="81"/>
    </row>
    <row r="207" spans="1:4" ht="15.75" thickBot="1" x14ac:dyDescent="0.3">
      <c r="A207" s="82" t="s">
        <v>714</v>
      </c>
      <c r="B207" s="83" t="s">
        <v>439</v>
      </c>
      <c r="C207" s="84">
        <v>0</v>
      </c>
      <c r="D207" s="81"/>
    </row>
    <row r="208" spans="1:4" ht="15.75" thickBot="1" x14ac:dyDescent="0.3">
      <c r="A208" s="82" t="s">
        <v>715</v>
      </c>
      <c r="B208" s="83" t="s">
        <v>296</v>
      </c>
      <c r="C208" s="85">
        <v>6</v>
      </c>
      <c r="D208" s="81"/>
    </row>
    <row r="209" spans="1:4" ht="15.75" thickBot="1" x14ac:dyDescent="0.3">
      <c r="A209" s="82" t="s">
        <v>716</v>
      </c>
      <c r="B209" s="83" t="s">
        <v>509</v>
      </c>
      <c r="C209" s="86">
        <v>4</v>
      </c>
      <c r="D209" s="81"/>
    </row>
    <row r="210" spans="1:4" ht="15.75" thickBot="1" x14ac:dyDescent="0.3">
      <c r="A210" s="82" t="s">
        <v>717</v>
      </c>
      <c r="B210" s="83" t="s">
        <v>511</v>
      </c>
      <c r="C210" s="86">
        <v>2</v>
      </c>
      <c r="D210" s="81"/>
    </row>
    <row r="211" spans="1:4" ht="15.75" thickBot="1" x14ac:dyDescent="0.3">
      <c r="A211" s="82" t="s">
        <v>718</v>
      </c>
      <c r="B211" s="83" t="s">
        <v>439</v>
      </c>
      <c r="C211" s="84">
        <v>1</v>
      </c>
      <c r="D211" s="81"/>
    </row>
    <row r="212" spans="1:4" ht="15.75" thickBot="1" x14ac:dyDescent="0.3">
      <c r="A212" s="82" t="s">
        <v>719</v>
      </c>
      <c r="B212" s="83" t="s">
        <v>296</v>
      </c>
      <c r="C212" s="86">
        <v>3</v>
      </c>
      <c r="D212" s="81"/>
    </row>
    <row r="213" spans="1:4" ht="15.75" thickBot="1" x14ac:dyDescent="0.3">
      <c r="A213" s="82" t="s">
        <v>720</v>
      </c>
      <c r="B213" s="83" t="s">
        <v>509</v>
      </c>
      <c r="C213" s="84">
        <v>0</v>
      </c>
      <c r="D213" s="81"/>
    </row>
    <row r="214" spans="1:4" ht="15.75" thickBot="1" x14ac:dyDescent="0.3">
      <c r="A214" s="90" t="s">
        <v>721</v>
      </c>
      <c r="B214" s="83" t="s">
        <v>511</v>
      </c>
      <c r="C214" s="86">
        <v>2</v>
      </c>
      <c r="D214" s="81"/>
    </row>
    <row r="215" spans="1:4" ht="15.75" thickBot="1" x14ac:dyDescent="0.3">
      <c r="A215" s="82" t="s">
        <v>722</v>
      </c>
      <c r="B215" s="83" t="s">
        <v>439</v>
      </c>
      <c r="C215" s="84">
        <v>0</v>
      </c>
      <c r="D215" s="81"/>
    </row>
    <row r="216" spans="1:4" ht="15.75" thickBot="1" x14ac:dyDescent="0.3">
      <c r="A216" s="82" t="s">
        <v>723</v>
      </c>
      <c r="B216" s="83" t="s">
        <v>296</v>
      </c>
      <c r="C216" s="85">
        <v>10</v>
      </c>
      <c r="D216" s="81"/>
    </row>
    <row r="217" spans="1:4" ht="15.75" thickBot="1" x14ac:dyDescent="0.3">
      <c r="A217" s="82" t="s">
        <v>724</v>
      </c>
      <c r="B217" s="83" t="s">
        <v>509</v>
      </c>
      <c r="C217" s="84">
        <v>0</v>
      </c>
      <c r="D217" s="81"/>
    </row>
    <row r="218" spans="1:4" ht="15.75" thickBot="1" x14ac:dyDescent="0.3">
      <c r="A218" s="82" t="s">
        <v>725</v>
      </c>
      <c r="B218" s="83" t="s">
        <v>511</v>
      </c>
      <c r="C218" s="84">
        <v>0</v>
      </c>
      <c r="D218" s="81"/>
    </row>
    <row r="219" spans="1:4" ht="15.75" thickBot="1" x14ac:dyDescent="0.3">
      <c r="A219" s="82" t="s">
        <v>726</v>
      </c>
      <c r="B219" s="83" t="s">
        <v>296</v>
      </c>
      <c r="C219" s="84">
        <v>0</v>
      </c>
      <c r="D219" s="81"/>
    </row>
    <row r="220" spans="1:4" ht="15.75" thickBot="1" x14ac:dyDescent="0.3">
      <c r="A220" s="82" t="s">
        <v>727</v>
      </c>
      <c r="B220" s="83" t="s">
        <v>296</v>
      </c>
      <c r="C220" s="84">
        <v>0</v>
      </c>
      <c r="D220" s="81"/>
    </row>
    <row r="221" spans="1:4" ht="15.75" thickBot="1" x14ac:dyDescent="0.3">
      <c r="A221" s="82" t="s">
        <v>728</v>
      </c>
      <c r="B221" s="83" t="s">
        <v>509</v>
      </c>
      <c r="C221" s="84">
        <v>0</v>
      </c>
      <c r="D221" s="81"/>
    </row>
    <row r="222" spans="1:4" ht="15.75" thickBot="1" x14ac:dyDescent="0.3">
      <c r="A222" s="82" t="s">
        <v>729</v>
      </c>
      <c r="B222" s="83" t="s">
        <v>511</v>
      </c>
      <c r="C222" s="84">
        <v>0</v>
      </c>
      <c r="D222" s="81"/>
    </row>
    <row r="223" spans="1:4" ht="15.75" thickBot="1" x14ac:dyDescent="0.3">
      <c r="A223" s="82" t="s">
        <v>730</v>
      </c>
      <c r="B223" s="83" t="s">
        <v>439</v>
      </c>
      <c r="C223" s="84">
        <v>0</v>
      </c>
      <c r="D223" s="81"/>
    </row>
    <row r="224" spans="1:4" ht="15.75" thickBot="1" x14ac:dyDescent="0.3">
      <c r="A224" s="82" t="s">
        <v>731</v>
      </c>
      <c r="B224" s="83" t="s">
        <v>296</v>
      </c>
      <c r="C224" s="85">
        <v>9</v>
      </c>
      <c r="D224" s="81"/>
    </row>
    <row r="225" spans="1:4" ht="15.75" thickBot="1" x14ac:dyDescent="0.3">
      <c r="A225" s="82" t="s">
        <v>732</v>
      </c>
      <c r="B225" s="83" t="s">
        <v>509</v>
      </c>
      <c r="C225" s="85">
        <v>10</v>
      </c>
      <c r="D225" s="81"/>
    </row>
    <row r="226" spans="1:4" ht="15.75" thickBot="1" x14ac:dyDescent="0.3">
      <c r="A226" s="82" t="s">
        <v>733</v>
      </c>
      <c r="B226" s="83" t="s">
        <v>511</v>
      </c>
      <c r="C226" s="84">
        <v>0</v>
      </c>
      <c r="D226" s="81"/>
    </row>
    <row r="227" spans="1:4" ht="15.75" thickBot="1" x14ac:dyDescent="0.3">
      <c r="A227" s="82" t="s">
        <v>734</v>
      </c>
      <c r="B227" s="83" t="s">
        <v>296</v>
      </c>
      <c r="C227" s="84">
        <v>0</v>
      </c>
      <c r="D227" s="81"/>
    </row>
    <row r="228" spans="1:4" ht="15.75" thickBot="1" x14ac:dyDescent="0.3">
      <c r="A228" s="82" t="s">
        <v>735</v>
      </c>
      <c r="B228" s="83" t="s">
        <v>509</v>
      </c>
      <c r="C228" s="84">
        <v>0</v>
      </c>
      <c r="D228" s="81"/>
    </row>
    <row r="229" spans="1:4" ht="15.75" thickBot="1" x14ac:dyDescent="0.3">
      <c r="A229" s="82" t="s">
        <v>736</v>
      </c>
      <c r="B229" s="83" t="s">
        <v>511</v>
      </c>
      <c r="C229" s="84">
        <v>0</v>
      </c>
      <c r="D229" s="81"/>
    </row>
    <row r="230" spans="1:4" ht="15.75" thickBot="1" x14ac:dyDescent="0.3">
      <c r="A230" s="90" t="s">
        <v>737</v>
      </c>
      <c r="B230" s="83" t="s">
        <v>439</v>
      </c>
      <c r="C230" s="84">
        <v>0</v>
      </c>
      <c r="D230" s="81"/>
    </row>
    <row r="231" spans="1:4" ht="15.75" thickBot="1" x14ac:dyDescent="0.3">
      <c r="A231" s="82" t="s">
        <v>738</v>
      </c>
      <c r="B231" s="83" t="s">
        <v>296</v>
      </c>
      <c r="C231" s="84">
        <v>0</v>
      </c>
      <c r="D231" s="81"/>
    </row>
    <row r="232" spans="1:4" ht="15.75" thickBot="1" x14ac:dyDescent="0.3">
      <c r="A232" s="82" t="s">
        <v>739</v>
      </c>
      <c r="B232" s="83" t="s">
        <v>509</v>
      </c>
      <c r="C232" s="84">
        <v>0</v>
      </c>
      <c r="D232" s="81"/>
    </row>
    <row r="233" spans="1:4" ht="15.75" thickBot="1" x14ac:dyDescent="0.3">
      <c r="A233" s="82" t="s">
        <v>740</v>
      </c>
      <c r="B233" s="83" t="s">
        <v>511</v>
      </c>
      <c r="C233" s="84">
        <v>0</v>
      </c>
      <c r="D233" s="81"/>
    </row>
    <row r="234" spans="1:4" ht="15.75" thickBot="1" x14ac:dyDescent="0.3">
      <c r="A234" s="82" t="s">
        <v>741</v>
      </c>
      <c r="B234" s="83" t="s">
        <v>439</v>
      </c>
      <c r="C234" s="84">
        <v>0</v>
      </c>
      <c r="D234" s="81"/>
    </row>
    <row r="235" spans="1:4" ht="15.75" thickBot="1" x14ac:dyDescent="0.3">
      <c r="A235" s="82" t="s">
        <v>742</v>
      </c>
      <c r="B235" s="83" t="s">
        <v>439</v>
      </c>
      <c r="C235" s="84">
        <v>0</v>
      </c>
      <c r="D235" s="81"/>
    </row>
    <row r="236" spans="1:4" ht="15.75" thickBot="1" x14ac:dyDescent="0.3">
      <c r="A236" s="82" t="s">
        <v>743</v>
      </c>
      <c r="B236" s="83" t="s">
        <v>459</v>
      </c>
      <c r="C236" s="84">
        <v>0</v>
      </c>
      <c r="D236" s="64"/>
    </row>
    <row r="237" spans="1:4" ht="15.75" thickBot="1" x14ac:dyDescent="0.3">
      <c r="A237" s="82" t="s">
        <v>744</v>
      </c>
      <c r="B237" s="83" t="s">
        <v>459</v>
      </c>
      <c r="C237" s="85">
        <v>15.5</v>
      </c>
      <c r="D237" s="81"/>
    </row>
    <row r="238" spans="1:4" ht="15.75" thickBot="1" x14ac:dyDescent="0.3">
      <c r="A238" s="82" t="s">
        <v>745</v>
      </c>
      <c r="B238" s="83" t="s">
        <v>459</v>
      </c>
      <c r="C238" s="86">
        <v>4.8099999999999996</v>
      </c>
      <c r="D238" s="81"/>
    </row>
    <row r="239" spans="1:4" ht="15.75" thickBot="1" x14ac:dyDescent="0.3">
      <c r="A239" s="82" t="s">
        <v>746</v>
      </c>
      <c r="B239" s="83" t="s">
        <v>459</v>
      </c>
      <c r="C239" s="86">
        <v>3</v>
      </c>
      <c r="D239" s="81"/>
    </row>
    <row r="240" spans="1:4" ht="15.75" thickBot="1" x14ac:dyDescent="0.3">
      <c r="A240" s="82" t="s">
        <v>747</v>
      </c>
      <c r="B240" s="83" t="s">
        <v>596</v>
      </c>
      <c r="C240" s="85">
        <v>20</v>
      </c>
      <c r="D240" s="81"/>
    </row>
    <row r="241" spans="1:4" ht="15.75" thickBot="1" x14ac:dyDescent="0.3">
      <c r="A241" s="82" t="s">
        <v>748</v>
      </c>
      <c r="B241" s="83" t="s">
        <v>296</v>
      </c>
      <c r="C241" s="85">
        <v>9</v>
      </c>
      <c r="D241" s="81"/>
    </row>
    <row r="242" spans="1:4" ht="15.75" thickBot="1" x14ac:dyDescent="0.3">
      <c r="A242" s="82" t="s">
        <v>749</v>
      </c>
      <c r="B242" s="83" t="s">
        <v>494</v>
      </c>
      <c r="C242" s="84">
        <v>0</v>
      </c>
      <c r="D242" s="81"/>
    </row>
    <row r="243" spans="1:4" ht="15.75" thickBot="1" x14ac:dyDescent="0.3">
      <c r="A243" s="82" t="s">
        <v>750</v>
      </c>
      <c r="B243" s="83" t="s">
        <v>494</v>
      </c>
      <c r="C243" s="84">
        <v>0</v>
      </c>
      <c r="D243" s="81"/>
    </row>
    <row r="244" spans="1:4" ht="15.75" thickBot="1" x14ac:dyDescent="0.3">
      <c r="A244" s="82" t="s">
        <v>751</v>
      </c>
      <c r="B244" s="83" t="s">
        <v>494</v>
      </c>
      <c r="C244" s="84">
        <v>0</v>
      </c>
      <c r="D244" s="81"/>
    </row>
    <row r="245" spans="1:4" ht="15.75" thickBot="1" x14ac:dyDescent="0.3">
      <c r="A245" s="82" t="s">
        <v>752</v>
      </c>
      <c r="B245" s="83" t="s">
        <v>753</v>
      </c>
      <c r="C245" s="84">
        <v>0</v>
      </c>
      <c r="D245" s="81"/>
    </row>
    <row r="246" spans="1:4" ht="15.75" thickBot="1" x14ac:dyDescent="0.3">
      <c r="A246" s="82" t="s">
        <v>754</v>
      </c>
      <c r="B246" s="83" t="s">
        <v>459</v>
      </c>
      <c r="C246" s="84">
        <v>0</v>
      </c>
      <c r="D246" s="81"/>
    </row>
    <row r="247" spans="1:4" ht="15.75" thickBot="1" x14ac:dyDescent="0.3">
      <c r="A247" s="82" t="s">
        <v>755</v>
      </c>
      <c r="B247" s="83" t="s">
        <v>544</v>
      </c>
      <c r="C247" s="84">
        <v>0</v>
      </c>
      <c r="D247" s="81"/>
    </row>
    <row r="248" spans="1:4" ht="15.75" thickBot="1" x14ac:dyDescent="0.3">
      <c r="A248" s="82" t="s">
        <v>756</v>
      </c>
      <c r="B248" s="83" t="s">
        <v>459</v>
      </c>
      <c r="C248" s="84">
        <v>0</v>
      </c>
      <c r="D248" s="81"/>
    </row>
    <row r="249" spans="1:4" ht="15.75" thickBot="1" x14ac:dyDescent="0.3">
      <c r="A249" s="82" t="s">
        <v>757</v>
      </c>
      <c r="B249" s="83" t="s">
        <v>544</v>
      </c>
      <c r="C249" s="84">
        <v>0</v>
      </c>
      <c r="D249" s="81"/>
    </row>
    <row r="250" spans="1:4" ht="15.75" thickBot="1" x14ac:dyDescent="0.3">
      <c r="A250" s="82" t="s">
        <v>758</v>
      </c>
      <c r="B250" s="83" t="s">
        <v>759</v>
      </c>
      <c r="C250" s="84">
        <v>0</v>
      </c>
      <c r="D250" s="81"/>
    </row>
    <row r="251" spans="1:4" ht="15.75" thickBot="1" x14ac:dyDescent="0.3">
      <c r="A251" s="82" t="s">
        <v>760</v>
      </c>
      <c r="B251" s="83" t="s">
        <v>761</v>
      </c>
      <c r="C251" s="84">
        <v>1</v>
      </c>
      <c r="D251" s="81"/>
    </row>
    <row r="252" spans="1:4" ht="15.75" thickBot="1" x14ac:dyDescent="0.3">
      <c r="A252" s="82" t="s">
        <v>762</v>
      </c>
      <c r="B252" s="83" t="s">
        <v>761</v>
      </c>
      <c r="C252" s="84">
        <v>0</v>
      </c>
      <c r="D252" s="81"/>
    </row>
    <row r="253" spans="1:4" ht="15.75" thickBot="1" x14ac:dyDescent="0.3">
      <c r="A253" s="82" t="s">
        <v>763</v>
      </c>
      <c r="B253" s="83" t="s">
        <v>546</v>
      </c>
      <c r="C253" s="84">
        <v>0</v>
      </c>
      <c r="D253" s="81"/>
    </row>
    <row r="254" spans="1:4" ht="15.75" thickBot="1" x14ac:dyDescent="0.3">
      <c r="A254" s="82" t="s">
        <v>764</v>
      </c>
      <c r="B254" s="83" t="s">
        <v>546</v>
      </c>
      <c r="C254" s="84">
        <v>0</v>
      </c>
      <c r="D254" s="81"/>
    </row>
    <row r="255" spans="1:4" ht="15.75" thickBot="1" x14ac:dyDescent="0.3">
      <c r="A255" s="82" t="s">
        <v>765</v>
      </c>
      <c r="B255" s="83" t="s">
        <v>596</v>
      </c>
      <c r="C255" s="84">
        <v>0</v>
      </c>
      <c r="D255" s="81"/>
    </row>
    <row r="256" spans="1:4" ht="15.75" thickBot="1" x14ac:dyDescent="0.3">
      <c r="A256" s="82" t="s">
        <v>766</v>
      </c>
      <c r="B256" s="83" t="s">
        <v>596</v>
      </c>
      <c r="C256" s="84">
        <v>0</v>
      </c>
      <c r="D256" s="81"/>
    </row>
    <row r="257" spans="1:4" ht="15.75" thickBot="1" x14ac:dyDescent="0.3">
      <c r="A257" s="82" t="s">
        <v>767</v>
      </c>
      <c r="B257" s="83" t="s">
        <v>596</v>
      </c>
      <c r="C257" s="84">
        <v>0</v>
      </c>
      <c r="D257" s="81"/>
    </row>
    <row r="258" spans="1:4" ht="15.75" thickBot="1" x14ac:dyDescent="0.3">
      <c r="A258" s="82" t="s">
        <v>768</v>
      </c>
      <c r="B258" s="83" t="s">
        <v>544</v>
      </c>
      <c r="C258" s="84">
        <v>0</v>
      </c>
      <c r="D258" s="81"/>
    </row>
    <row r="259" spans="1:4" ht="15.75" thickBot="1" x14ac:dyDescent="0.3">
      <c r="A259" s="82" t="s">
        <v>769</v>
      </c>
      <c r="B259" s="83" t="s">
        <v>544</v>
      </c>
      <c r="C259" s="84">
        <v>0</v>
      </c>
      <c r="D259" s="81"/>
    </row>
    <row r="260" spans="1:4" ht="15.75" thickBot="1" x14ac:dyDescent="0.3">
      <c r="A260" s="82" t="s">
        <v>770</v>
      </c>
      <c r="B260" s="83" t="s">
        <v>544</v>
      </c>
      <c r="C260" s="84">
        <v>0</v>
      </c>
      <c r="D260" s="81"/>
    </row>
    <row r="261" spans="1:4" ht="15.75" thickBot="1" x14ac:dyDescent="0.3">
      <c r="A261" s="82" t="s">
        <v>771</v>
      </c>
      <c r="B261" s="83" t="s">
        <v>544</v>
      </c>
      <c r="C261" s="84">
        <v>0</v>
      </c>
      <c r="D261" s="81"/>
    </row>
    <row r="262" spans="1:4" ht="15.75" thickBot="1" x14ac:dyDescent="0.3">
      <c r="A262" s="82" t="s">
        <v>772</v>
      </c>
      <c r="B262" s="83" t="s">
        <v>544</v>
      </c>
      <c r="C262" s="84">
        <v>0</v>
      </c>
      <c r="D262" s="81"/>
    </row>
    <row r="263" spans="1:4" ht="15.75" thickBot="1" x14ac:dyDescent="0.3">
      <c r="A263" s="82" t="s">
        <v>773</v>
      </c>
      <c r="B263" s="83" t="s">
        <v>544</v>
      </c>
      <c r="C263" s="84">
        <v>0</v>
      </c>
      <c r="D263" s="81"/>
    </row>
    <row r="264" spans="1:4" ht="15.75" thickBot="1" x14ac:dyDescent="0.3">
      <c r="A264" s="82" t="s">
        <v>774</v>
      </c>
      <c r="B264" s="83" t="s">
        <v>544</v>
      </c>
      <c r="C264" s="84">
        <v>0</v>
      </c>
      <c r="D264" s="81"/>
    </row>
    <row r="265" spans="1:4" ht="15.75" thickBot="1" x14ac:dyDescent="0.3">
      <c r="A265" s="82" t="s">
        <v>775</v>
      </c>
      <c r="B265" s="83" t="s">
        <v>544</v>
      </c>
      <c r="C265" s="84">
        <v>0</v>
      </c>
      <c r="D265" s="81"/>
    </row>
    <row r="266" spans="1:4" ht="15.75" thickBot="1" x14ac:dyDescent="0.3">
      <c r="A266" s="82" t="s">
        <v>776</v>
      </c>
      <c r="B266" s="83" t="s">
        <v>459</v>
      </c>
      <c r="C266" s="84">
        <v>0</v>
      </c>
      <c r="D266" s="81"/>
    </row>
    <row r="267" spans="1:4" ht="15.75" thickBot="1" x14ac:dyDescent="0.3">
      <c r="A267" s="82" t="s">
        <v>777</v>
      </c>
      <c r="B267" s="83" t="s">
        <v>677</v>
      </c>
      <c r="C267" s="84">
        <v>0</v>
      </c>
      <c r="D267" s="81"/>
    </row>
    <row r="268" spans="1:4" ht="15.75" thickBot="1" x14ac:dyDescent="0.3">
      <c r="A268" s="82" t="s">
        <v>778</v>
      </c>
      <c r="B268" s="83" t="s">
        <v>779</v>
      </c>
      <c r="C268" s="84">
        <v>0</v>
      </c>
      <c r="D268" s="81"/>
    </row>
    <row r="269" spans="1:4" ht="15.75" thickBot="1" x14ac:dyDescent="0.3">
      <c r="A269" s="82" t="s">
        <v>780</v>
      </c>
      <c r="B269" s="83" t="s">
        <v>779</v>
      </c>
      <c r="C269" s="86">
        <v>2</v>
      </c>
      <c r="D269" s="81"/>
    </row>
    <row r="270" spans="1:4" ht="15.75" thickBot="1" x14ac:dyDescent="0.3">
      <c r="A270" s="82" t="s">
        <v>781</v>
      </c>
      <c r="B270" s="83" t="s">
        <v>782</v>
      </c>
      <c r="C270" s="84">
        <v>0</v>
      </c>
      <c r="D270" s="81"/>
    </row>
    <row r="271" spans="1:4" ht="15.75" thickBot="1" x14ac:dyDescent="0.3">
      <c r="A271" s="82" t="s">
        <v>783</v>
      </c>
      <c r="B271" s="83" t="s">
        <v>589</v>
      </c>
      <c r="C271" s="84">
        <v>0</v>
      </c>
      <c r="D271" s="81"/>
    </row>
    <row r="272" spans="1:4" ht="15.75" thickBot="1" x14ac:dyDescent="0.3">
      <c r="A272" s="82" t="s">
        <v>784</v>
      </c>
      <c r="B272" s="83" t="s">
        <v>591</v>
      </c>
      <c r="C272" s="84">
        <v>0</v>
      </c>
      <c r="D272" s="81"/>
    </row>
    <row r="273" spans="1:4" ht="15.75" thickBot="1" x14ac:dyDescent="0.3">
      <c r="A273" s="82" t="s">
        <v>785</v>
      </c>
      <c r="B273" s="83" t="s">
        <v>786</v>
      </c>
      <c r="C273" s="86">
        <v>4</v>
      </c>
      <c r="D273" s="81"/>
    </row>
    <row r="274" spans="1:4" ht="15.75" thickBot="1" x14ac:dyDescent="0.3">
      <c r="A274" s="82" t="s">
        <v>787</v>
      </c>
      <c r="B274" s="83" t="s">
        <v>788</v>
      </c>
      <c r="C274" s="84">
        <v>0</v>
      </c>
      <c r="D274" s="81"/>
    </row>
    <row r="275" spans="1:4" ht="15.75" thickBot="1" x14ac:dyDescent="0.3">
      <c r="A275" s="82" t="s">
        <v>789</v>
      </c>
      <c r="B275" s="83" t="s">
        <v>296</v>
      </c>
      <c r="C275" s="84">
        <v>0</v>
      </c>
      <c r="D275" s="81"/>
    </row>
    <row r="276" spans="1:4" ht="15.75" thickBot="1" x14ac:dyDescent="0.3">
      <c r="A276" s="82" t="s">
        <v>790</v>
      </c>
      <c r="B276" s="83" t="s">
        <v>509</v>
      </c>
      <c r="C276" s="85">
        <v>5.5</v>
      </c>
      <c r="D276" s="81"/>
    </row>
    <row r="277" spans="1:4" ht="15.75" thickBot="1" x14ac:dyDescent="0.3">
      <c r="A277" s="82" t="s">
        <v>791</v>
      </c>
      <c r="B277" s="83" t="s">
        <v>509</v>
      </c>
      <c r="C277" s="84">
        <v>0</v>
      </c>
      <c r="D277" s="81"/>
    </row>
    <row r="278" spans="1:4" ht="15.75" thickBot="1" x14ac:dyDescent="0.3">
      <c r="A278" s="82" t="s">
        <v>792</v>
      </c>
      <c r="B278" s="83" t="s">
        <v>509</v>
      </c>
      <c r="C278" s="84">
        <v>0</v>
      </c>
      <c r="D278" s="81"/>
    </row>
    <row r="279" spans="1:4" ht="15.75" thickBot="1" x14ac:dyDescent="0.3">
      <c r="A279" s="82" t="s">
        <v>793</v>
      </c>
      <c r="B279" s="83" t="s">
        <v>511</v>
      </c>
      <c r="C279" s="86">
        <v>2</v>
      </c>
      <c r="D279" s="81"/>
    </row>
    <row r="280" spans="1:4" ht="15.75" thickBot="1" x14ac:dyDescent="0.3">
      <c r="A280" s="82" t="s">
        <v>794</v>
      </c>
      <c r="B280" s="83" t="s">
        <v>511</v>
      </c>
      <c r="C280" s="84">
        <v>0</v>
      </c>
      <c r="D280" s="81"/>
    </row>
    <row r="281" spans="1:4" ht="15.75" thickBot="1" x14ac:dyDescent="0.3">
      <c r="A281" s="82" t="s">
        <v>795</v>
      </c>
      <c r="B281" s="83" t="s">
        <v>439</v>
      </c>
      <c r="C281" s="84">
        <v>1</v>
      </c>
      <c r="D281" s="81"/>
    </row>
    <row r="282" spans="1:4" ht="15.75" thickBot="1" x14ac:dyDescent="0.3">
      <c r="A282" s="82" t="s">
        <v>796</v>
      </c>
      <c r="B282" s="83" t="s">
        <v>439</v>
      </c>
      <c r="C282" s="84">
        <v>0</v>
      </c>
      <c r="D282" s="81"/>
    </row>
    <row r="283" spans="1:4" ht="15.75" thickBot="1" x14ac:dyDescent="0.3">
      <c r="A283" s="82" t="s">
        <v>797</v>
      </c>
      <c r="B283" s="83" t="s">
        <v>439</v>
      </c>
      <c r="C283" s="84">
        <v>0</v>
      </c>
      <c r="D283" s="81"/>
    </row>
    <row r="284" spans="1:4" ht="15.75" thickBot="1" x14ac:dyDescent="0.3">
      <c r="A284" s="82" t="s">
        <v>798</v>
      </c>
      <c r="B284" s="83" t="s">
        <v>296</v>
      </c>
      <c r="C284" s="84">
        <v>0</v>
      </c>
      <c r="D284" s="81"/>
    </row>
    <row r="285" spans="1:4" ht="15.75" thickBot="1" x14ac:dyDescent="0.3">
      <c r="A285" s="82" t="s">
        <v>799</v>
      </c>
      <c r="B285" s="83" t="s">
        <v>509</v>
      </c>
      <c r="C285" s="84">
        <v>0</v>
      </c>
      <c r="D285" s="81"/>
    </row>
    <row r="286" spans="1:4" ht="15.75" thickBot="1" x14ac:dyDescent="0.3">
      <c r="A286" s="82" t="s">
        <v>800</v>
      </c>
      <c r="B286" s="83" t="s">
        <v>511</v>
      </c>
      <c r="C286" s="84">
        <v>0</v>
      </c>
      <c r="D286" s="81"/>
    </row>
    <row r="287" spans="1:4" ht="15.75" thickBot="1" x14ac:dyDescent="0.3">
      <c r="A287" s="82" t="s">
        <v>801</v>
      </c>
      <c r="B287" s="83" t="s">
        <v>439</v>
      </c>
      <c r="C287" s="84">
        <v>0</v>
      </c>
      <c r="D287" s="81"/>
    </row>
    <row r="288" spans="1:4" ht="15.75" thickBot="1" x14ac:dyDescent="0.3">
      <c r="A288" s="82" t="s">
        <v>802</v>
      </c>
      <c r="B288" s="83" t="s">
        <v>296</v>
      </c>
      <c r="C288" s="85">
        <v>20</v>
      </c>
      <c r="D288" s="81"/>
    </row>
    <row r="289" spans="1:4" ht="15.75" thickBot="1" x14ac:dyDescent="0.3">
      <c r="A289" s="82" t="s">
        <v>803</v>
      </c>
      <c r="B289" s="83" t="s">
        <v>509</v>
      </c>
      <c r="C289" s="85">
        <v>7</v>
      </c>
      <c r="D289" s="81"/>
    </row>
    <row r="290" spans="1:4" ht="15.75" thickBot="1" x14ac:dyDescent="0.3">
      <c r="A290" s="82" t="s">
        <v>804</v>
      </c>
      <c r="B290" s="83" t="s">
        <v>511</v>
      </c>
      <c r="C290" s="85">
        <v>20</v>
      </c>
      <c r="D290" s="81" t="s">
        <v>805</v>
      </c>
    </row>
    <row r="291" spans="1:4" ht="15.75" thickBot="1" x14ac:dyDescent="0.3">
      <c r="A291" s="82" t="s">
        <v>806</v>
      </c>
      <c r="B291" s="83" t="s">
        <v>439</v>
      </c>
      <c r="C291" s="85">
        <v>36</v>
      </c>
      <c r="D291" s="81" t="s">
        <v>807</v>
      </c>
    </row>
    <row r="292" spans="1:4" ht="15.75" thickBot="1" x14ac:dyDescent="0.3">
      <c r="A292" s="82" t="s">
        <v>808</v>
      </c>
      <c r="B292" s="83" t="s">
        <v>296</v>
      </c>
      <c r="C292" s="84">
        <v>0</v>
      </c>
      <c r="D292" s="81"/>
    </row>
    <row r="293" spans="1:4" ht="15.75" thickBot="1" x14ac:dyDescent="0.3">
      <c r="A293" s="82" t="s">
        <v>809</v>
      </c>
      <c r="B293" s="83" t="s">
        <v>509</v>
      </c>
      <c r="C293" s="84">
        <v>0</v>
      </c>
      <c r="D293" s="81"/>
    </row>
    <row r="294" spans="1:4" ht="15.75" thickBot="1" x14ac:dyDescent="0.3">
      <c r="A294" s="82" t="s">
        <v>810</v>
      </c>
      <c r="B294" s="83" t="s">
        <v>511</v>
      </c>
      <c r="C294" s="84">
        <v>0</v>
      </c>
      <c r="D294" s="81"/>
    </row>
    <row r="295" spans="1:4" ht="15.75" thickBot="1" x14ac:dyDescent="0.3">
      <c r="A295" s="82" t="s">
        <v>811</v>
      </c>
      <c r="B295" s="83" t="s">
        <v>439</v>
      </c>
      <c r="C295" s="84">
        <v>0</v>
      </c>
      <c r="D295" s="81"/>
    </row>
    <row r="296" spans="1:4" ht="15.75" thickBot="1" x14ac:dyDescent="0.3">
      <c r="A296" s="82" t="s">
        <v>812</v>
      </c>
      <c r="B296" s="83" t="s">
        <v>296</v>
      </c>
      <c r="C296" s="84">
        <v>0</v>
      </c>
      <c r="D296" s="81"/>
    </row>
    <row r="297" spans="1:4" ht="15.75" thickBot="1" x14ac:dyDescent="0.3">
      <c r="A297" s="82" t="s">
        <v>813</v>
      </c>
      <c r="B297" s="83" t="s">
        <v>509</v>
      </c>
      <c r="C297" s="84">
        <v>0</v>
      </c>
      <c r="D297" s="81"/>
    </row>
    <row r="298" spans="1:4" ht="15.75" thickBot="1" x14ac:dyDescent="0.3">
      <c r="A298" s="82" t="s">
        <v>814</v>
      </c>
      <c r="B298" s="83" t="s">
        <v>511</v>
      </c>
      <c r="C298" s="84">
        <v>0</v>
      </c>
      <c r="D298" s="81"/>
    </row>
    <row r="299" spans="1:4" ht="15.75" thickBot="1" x14ac:dyDescent="0.3">
      <c r="A299" s="82" t="s">
        <v>815</v>
      </c>
      <c r="B299" s="83" t="s">
        <v>439</v>
      </c>
      <c r="C299" s="84">
        <v>0</v>
      </c>
      <c r="D299" s="81"/>
    </row>
    <row r="300" spans="1:4" ht="15.75" thickBot="1" x14ac:dyDescent="0.3">
      <c r="A300" s="82" t="s">
        <v>816</v>
      </c>
      <c r="B300" s="83" t="s">
        <v>296</v>
      </c>
      <c r="C300" s="84">
        <v>0</v>
      </c>
      <c r="D300" s="81"/>
    </row>
    <row r="301" spans="1:4" ht="15.75" thickBot="1" x14ac:dyDescent="0.3">
      <c r="A301" s="82" t="s">
        <v>817</v>
      </c>
      <c r="B301" s="83" t="s">
        <v>509</v>
      </c>
      <c r="C301" s="84">
        <v>0</v>
      </c>
      <c r="D301" s="81"/>
    </row>
    <row r="302" spans="1:4" ht="15.75" thickBot="1" x14ac:dyDescent="0.3">
      <c r="A302" s="82" t="s">
        <v>818</v>
      </c>
      <c r="B302" s="83" t="s">
        <v>296</v>
      </c>
      <c r="C302" s="84">
        <v>0</v>
      </c>
      <c r="D302" s="81"/>
    </row>
    <row r="303" spans="1:4" ht="15.75" thickBot="1" x14ac:dyDescent="0.3">
      <c r="A303" s="82" t="s">
        <v>819</v>
      </c>
      <c r="B303" s="83" t="s">
        <v>439</v>
      </c>
      <c r="C303" s="84">
        <v>0</v>
      </c>
      <c r="D303" s="81"/>
    </row>
    <row r="304" spans="1:4" ht="15.75" thickBot="1" x14ac:dyDescent="0.3">
      <c r="A304" s="82" t="s">
        <v>820</v>
      </c>
      <c r="B304" s="83" t="s">
        <v>821</v>
      </c>
      <c r="C304" s="84">
        <v>1</v>
      </c>
      <c r="D304" s="81"/>
    </row>
    <row r="305" spans="1:4" ht="15.75" thickBot="1" x14ac:dyDescent="0.3">
      <c r="A305" s="82" t="s">
        <v>822</v>
      </c>
      <c r="B305" s="83" t="s">
        <v>544</v>
      </c>
      <c r="C305" s="84">
        <v>0</v>
      </c>
      <c r="D305" s="81"/>
    </row>
    <row r="306" spans="1:4" ht="15.75" thickBot="1" x14ac:dyDescent="0.3">
      <c r="A306" s="82" t="s">
        <v>823</v>
      </c>
      <c r="B306" s="83" t="s">
        <v>459</v>
      </c>
      <c r="C306" s="84">
        <v>0</v>
      </c>
      <c r="D306" s="81"/>
    </row>
    <row r="307" spans="1:4" ht="15.75" thickBot="1" x14ac:dyDescent="0.3">
      <c r="A307" s="82" t="s">
        <v>824</v>
      </c>
      <c r="B307" s="83" t="s">
        <v>459</v>
      </c>
      <c r="C307" s="84">
        <v>0</v>
      </c>
      <c r="D307" s="81"/>
    </row>
    <row r="308" spans="1:4" ht="15.75" thickBot="1" x14ac:dyDescent="0.3">
      <c r="A308" s="82" t="s">
        <v>825</v>
      </c>
      <c r="B308" s="83" t="s">
        <v>589</v>
      </c>
      <c r="C308" s="84">
        <v>0</v>
      </c>
      <c r="D308" s="81"/>
    </row>
    <row r="309" spans="1:4" ht="15.75" thickBot="1" x14ac:dyDescent="0.3">
      <c r="A309" s="82" t="s">
        <v>826</v>
      </c>
      <c r="B309" s="83" t="s">
        <v>591</v>
      </c>
      <c r="C309" s="84">
        <v>0</v>
      </c>
      <c r="D309" s="81"/>
    </row>
    <row r="310" spans="1:4" ht="15.75" thickBot="1" x14ac:dyDescent="0.3">
      <c r="A310" s="82" t="s">
        <v>827</v>
      </c>
      <c r="B310" s="83" t="s">
        <v>593</v>
      </c>
      <c r="C310" s="84">
        <v>0</v>
      </c>
      <c r="D310" s="81"/>
    </row>
    <row r="311" spans="1:4" ht="15.75" thickBot="1" x14ac:dyDescent="0.3">
      <c r="A311" s="82" t="s">
        <v>828</v>
      </c>
      <c r="B311" s="83" t="s">
        <v>459</v>
      </c>
      <c r="C311" s="84">
        <v>0</v>
      </c>
      <c r="D311" s="81"/>
    </row>
    <row r="312" spans="1:4" ht="15.75" thickBot="1" x14ac:dyDescent="0.3">
      <c r="A312" s="82" t="s">
        <v>829</v>
      </c>
      <c r="B312" s="83" t="s">
        <v>589</v>
      </c>
      <c r="C312" s="84">
        <v>0</v>
      </c>
      <c r="D312" s="81"/>
    </row>
    <row r="313" spans="1:4" ht="15.75" thickBot="1" x14ac:dyDescent="0.3">
      <c r="A313" s="82" t="s">
        <v>830</v>
      </c>
      <c r="B313" s="83" t="s">
        <v>591</v>
      </c>
      <c r="C313" s="84">
        <v>0</v>
      </c>
      <c r="D313" s="81"/>
    </row>
    <row r="314" spans="1:4" ht="15.75" thickBot="1" x14ac:dyDescent="0.3">
      <c r="A314" s="82" t="s">
        <v>831</v>
      </c>
      <c r="B314" s="83" t="s">
        <v>593</v>
      </c>
      <c r="C314" s="84">
        <v>0</v>
      </c>
      <c r="D314" s="81"/>
    </row>
    <row r="315" spans="1:4" ht="15.75" thickBot="1" x14ac:dyDescent="0.3">
      <c r="A315" s="82" t="s">
        <v>832</v>
      </c>
      <c r="B315" s="83" t="s">
        <v>459</v>
      </c>
      <c r="C315" s="84">
        <v>0</v>
      </c>
      <c r="D315" s="81"/>
    </row>
    <row r="316" spans="1:4" ht="15.75" thickBot="1" x14ac:dyDescent="0.3">
      <c r="A316" s="82" t="s">
        <v>833</v>
      </c>
      <c r="B316" s="83" t="s">
        <v>589</v>
      </c>
      <c r="C316" s="84">
        <v>0</v>
      </c>
      <c r="D316" s="81"/>
    </row>
    <row r="317" spans="1:4" ht="15.75" thickBot="1" x14ac:dyDescent="0.3">
      <c r="A317" s="82" t="s">
        <v>834</v>
      </c>
      <c r="B317" s="83" t="s">
        <v>591</v>
      </c>
      <c r="C317" s="84">
        <v>0</v>
      </c>
      <c r="D317" s="81"/>
    </row>
    <row r="318" spans="1:4" ht="15.75" thickBot="1" x14ac:dyDescent="0.3">
      <c r="A318" s="82" t="s">
        <v>835</v>
      </c>
      <c r="B318" s="83" t="s">
        <v>593</v>
      </c>
      <c r="C318" s="84">
        <v>0</v>
      </c>
      <c r="D318" s="81"/>
    </row>
    <row r="319" spans="1:4" ht="15.75" thickBot="1" x14ac:dyDescent="0.3">
      <c r="A319" s="82" t="s">
        <v>836</v>
      </c>
      <c r="B319" s="83" t="s">
        <v>459</v>
      </c>
      <c r="C319" s="84">
        <v>0</v>
      </c>
      <c r="D319" s="81"/>
    </row>
    <row r="320" spans="1:4" ht="15.75" thickBot="1" x14ac:dyDescent="0.3">
      <c r="A320" s="82" t="s">
        <v>837</v>
      </c>
      <c r="B320" s="83" t="s">
        <v>589</v>
      </c>
      <c r="C320" s="84">
        <v>0</v>
      </c>
      <c r="D320" s="81"/>
    </row>
    <row r="321" spans="1:4" ht="15.75" thickBot="1" x14ac:dyDescent="0.3">
      <c r="A321" s="82" t="s">
        <v>838</v>
      </c>
      <c r="B321" s="83" t="s">
        <v>591</v>
      </c>
      <c r="C321" s="84">
        <v>0</v>
      </c>
      <c r="D321" s="81"/>
    </row>
    <row r="322" spans="1:4" ht="15.75" thickBot="1" x14ac:dyDescent="0.3">
      <c r="A322" s="82" t="s">
        <v>839</v>
      </c>
      <c r="B322" s="83" t="s">
        <v>593</v>
      </c>
      <c r="C322" s="84">
        <v>0</v>
      </c>
      <c r="D322" s="81"/>
    </row>
    <row r="323" spans="1:4" ht="15.75" thickBot="1" x14ac:dyDescent="0.3">
      <c r="A323" s="82" t="s">
        <v>840</v>
      </c>
      <c r="B323" s="83" t="s">
        <v>494</v>
      </c>
      <c r="C323" s="84">
        <v>-314</v>
      </c>
      <c r="D323" s="81"/>
    </row>
    <row r="324" spans="1:4" ht="15.75" thickBot="1" x14ac:dyDescent="0.3">
      <c r="A324" s="82" t="s">
        <v>841</v>
      </c>
      <c r="B324" s="83" t="s">
        <v>494</v>
      </c>
      <c r="C324" s="84">
        <v>0</v>
      </c>
      <c r="D324" s="81"/>
    </row>
    <row r="325" spans="1:4" ht="15.75" thickBot="1" x14ac:dyDescent="0.3">
      <c r="A325" s="82" t="s">
        <v>275</v>
      </c>
      <c r="B325" s="83" t="s">
        <v>544</v>
      </c>
      <c r="C325" s="85">
        <v>205</v>
      </c>
      <c r="D325" s="81"/>
    </row>
    <row r="326" spans="1:4" ht="15.75" thickBot="1" x14ac:dyDescent="0.3">
      <c r="A326" s="82" t="s">
        <v>842</v>
      </c>
      <c r="B326" s="83" t="s">
        <v>459</v>
      </c>
      <c r="C326" s="85">
        <v>6</v>
      </c>
      <c r="D326" s="81"/>
    </row>
    <row r="327" spans="1:4" ht="15.75" thickBot="1" x14ac:dyDescent="0.3">
      <c r="A327" s="82" t="s">
        <v>843</v>
      </c>
      <c r="B327" s="83" t="s">
        <v>459</v>
      </c>
      <c r="C327" s="84">
        <v>0</v>
      </c>
      <c r="D327" s="81"/>
    </row>
    <row r="328" spans="1:4" ht="15.75" thickBot="1" x14ac:dyDescent="0.3">
      <c r="A328" s="82" t="s">
        <v>844</v>
      </c>
      <c r="B328" s="83" t="s">
        <v>589</v>
      </c>
      <c r="C328" s="84">
        <v>0</v>
      </c>
      <c r="D328" s="81"/>
    </row>
    <row r="329" spans="1:4" ht="15.75" thickBot="1" x14ac:dyDescent="0.3">
      <c r="A329" s="82" t="s">
        <v>845</v>
      </c>
      <c r="B329" s="83" t="s">
        <v>459</v>
      </c>
      <c r="C329" s="85">
        <v>7</v>
      </c>
      <c r="D329" s="81"/>
    </row>
    <row r="330" spans="1:4" ht="15.75" thickBot="1" x14ac:dyDescent="0.3">
      <c r="A330" s="82" t="s">
        <v>846</v>
      </c>
      <c r="B330" s="83" t="s">
        <v>753</v>
      </c>
      <c r="C330" s="84">
        <v>0</v>
      </c>
      <c r="D330" s="81"/>
    </row>
    <row r="331" spans="1:4" ht="15.75" thickBot="1" x14ac:dyDescent="0.3">
      <c r="A331" s="82" t="s">
        <v>847</v>
      </c>
      <c r="B331" s="83" t="s">
        <v>753</v>
      </c>
      <c r="C331" s="84">
        <v>1</v>
      </c>
      <c r="D331" s="81"/>
    </row>
    <row r="332" spans="1:4" ht="15.75" thickBot="1" x14ac:dyDescent="0.3">
      <c r="A332" s="82" t="s">
        <v>848</v>
      </c>
      <c r="B332" s="83" t="s">
        <v>544</v>
      </c>
      <c r="C332" s="84">
        <v>0</v>
      </c>
      <c r="D332" s="81"/>
    </row>
    <row r="333" spans="1:4" ht="15.75" thickBot="1" x14ac:dyDescent="0.3">
      <c r="A333" s="82" t="s">
        <v>849</v>
      </c>
      <c r="B333" s="83" t="s">
        <v>296</v>
      </c>
      <c r="C333" s="85">
        <v>12</v>
      </c>
      <c r="D333" s="81"/>
    </row>
    <row r="334" spans="1:4" ht="15.75" thickBot="1" x14ac:dyDescent="0.3">
      <c r="A334" s="82" t="s">
        <v>850</v>
      </c>
      <c r="B334" s="83" t="s">
        <v>296</v>
      </c>
      <c r="C334" s="84">
        <v>0</v>
      </c>
      <c r="D334" s="81"/>
    </row>
    <row r="335" spans="1:4" ht="15.75" thickBot="1" x14ac:dyDescent="0.3">
      <c r="A335" s="82" t="s">
        <v>851</v>
      </c>
      <c r="B335" s="83" t="s">
        <v>494</v>
      </c>
      <c r="C335" s="84">
        <v>0</v>
      </c>
      <c r="D335" s="81"/>
    </row>
    <row r="336" spans="1:4" ht="15.75" thickBot="1" x14ac:dyDescent="0.3">
      <c r="A336" s="82" t="s">
        <v>852</v>
      </c>
      <c r="B336" s="83" t="s">
        <v>544</v>
      </c>
      <c r="C336" s="84">
        <v>0</v>
      </c>
      <c r="D336" s="81"/>
    </row>
    <row r="337" spans="1:4" ht="15.75" thickBot="1" x14ac:dyDescent="0.3">
      <c r="A337" s="82" t="s">
        <v>853</v>
      </c>
      <c r="B337" s="83" t="s">
        <v>509</v>
      </c>
      <c r="C337" s="84">
        <v>0</v>
      </c>
      <c r="D337" s="81"/>
    </row>
    <row r="338" spans="1:4" ht="15.75" thickBot="1" x14ac:dyDescent="0.3">
      <c r="A338" s="82" t="s">
        <v>854</v>
      </c>
      <c r="B338" s="83" t="s">
        <v>596</v>
      </c>
      <c r="C338" s="84">
        <v>0</v>
      </c>
      <c r="D338" s="81"/>
    </row>
    <row r="339" spans="1:4" ht="15.75" thickBot="1" x14ac:dyDescent="0.3">
      <c r="A339" s="82" t="s">
        <v>855</v>
      </c>
      <c r="B339" s="83" t="s">
        <v>296</v>
      </c>
      <c r="C339" s="84">
        <v>0</v>
      </c>
      <c r="D339" s="81"/>
    </row>
    <row r="340" spans="1:4" ht="15.75" thickBot="1" x14ac:dyDescent="0.3">
      <c r="A340" s="82" t="s">
        <v>856</v>
      </c>
      <c r="B340" s="83" t="s">
        <v>509</v>
      </c>
      <c r="C340" s="84">
        <v>0</v>
      </c>
      <c r="D340" s="81"/>
    </row>
    <row r="341" spans="1:4" ht="15.75" thickBot="1" x14ac:dyDescent="0.3">
      <c r="A341" s="82" t="s">
        <v>857</v>
      </c>
      <c r="B341" s="83" t="s">
        <v>596</v>
      </c>
      <c r="C341" s="84">
        <v>0</v>
      </c>
      <c r="D341" s="81"/>
    </row>
    <row r="342" spans="1:4" ht="15.75" thickBot="1" x14ac:dyDescent="0.3">
      <c r="A342" s="82" t="s">
        <v>858</v>
      </c>
      <c r="B342" s="83" t="s">
        <v>296</v>
      </c>
      <c r="C342" s="84">
        <v>0</v>
      </c>
      <c r="D342" s="81"/>
    </row>
    <row r="343" spans="1:4" ht="15.75" thickBot="1" x14ac:dyDescent="0.3">
      <c r="A343" s="82" t="s">
        <v>859</v>
      </c>
      <c r="B343" s="83" t="s">
        <v>509</v>
      </c>
      <c r="C343" s="84">
        <v>0</v>
      </c>
      <c r="D343" s="81"/>
    </row>
    <row r="344" spans="1:4" ht="15.75" thickBot="1" x14ac:dyDescent="0.3">
      <c r="A344" s="82" t="s">
        <v>860</v>
      </c>
      <c r="B344" s="83" t="s">
        <v>596</v>
      </c>
      <c r="C344" s="84">
        <v>0</v>
      </c>
      <c r="D344" s="81"/>
    </row>
    <row r="345" spans="1:4" ht="15.75" thickBot="1" x14ac:dyDescent="0.3">
      <c r="A345" s="83" t="s">
        <v>861</v>
      </c>
      <c r="B345" s="83" t="s">
        <v>296</v>
      </c>
      <c r="C345" s="84">
        <v>0</v>
      </c>
      <c r="D345" s="81"/>
    </row>
    <row r="346" spans="1:4" ht="15.75" thickBot="1" x14ac:dyDescent="0.3">
      <c r="A346" s="82" t="s">
        <v>862</v>
      </c>
      <c r="B346" s="83" t="s">
        <v>596</v>
      </c>
      <c r="C346" s="84">
        <v>0</v>
      </c>
      <c r="D346" s="81"/>
    </row>
    <row r="347" spans="1:4" ht="15.75" thickBot="1" x14ac:dyDescent="0.3">
      <c r="A347" s="82" t="s">
        <v>863</v>
      </c>
      <c r="B347" s="83" t="s">
        <v>296</v>
      </c>
      <c r="C347" s="84">
        <v>0</v>
      </c>
      <c r="D347" s="81"/>
    </row>
    <row r="348" spans="1:4" ht="15.75" thickBot="1" x14ac:dyDescent="0.3">
      <c r="A348" s="82" t="s">
        <v>864</v>
      </c>
      <c r="B348" s="83" t="s">
        <v>509</v>
      </c>
      <c r="C348" s="84">
        <v>0</v>
      </c>
      <c r="D348" s="81"/>
    </row>
    <row r="349" spans="1:4" ht="15.75" thickBot="1" x14ac:dyDescent="0.3">
      <c r="A349" s="82" t="s">
        <v>865</v>
      </c>
      <c r="B349" s="83" t="s">
        <v>296</v>
      </c>
      <c r="C349" s="84">
        <v>0</v>
      </c>
      <c r="D349" s="81"/>
    </row>
    <row r="350" spans="1:4" ht="15.75" thickBot="1" x14ac:dyDescent="0.3">
      <c r="A350" s="82" t="s">
        <v>866</v>
      </c>
      <c r="B350" s="83" t="s">
        <v>596</v>
      </c>
      <c r="C350" s="84">
        <v>0</v>
      </c>
      <c r="D350" s="81"/>
    </row>
    <row r="351" spans="1:4" ht="15.75" thickBot="1" x14ac:dyDescent="0.3">
      <c r="A351" s="82" t="s">
        <v>867</v>
      </c>
      <c r="B351" s="83" t="s">
        <v>296</v>
      </c>
      <c r="C351" s="84">
        <v>0</v>
      </c>
      <c r="D351" s="81"/>
    </row>
    <row r="352" spans="1:4" ht="15.75" thickBot="1" x14ac:dyDescent="0.3">
      <c r="A352" s="82" t="s">
        <v>868</v>
      </c>
      <c r="B352" s="83" t="s">
        <v>509</v>
      </c>
      <c r="C352" s="84">
        <v>0</v>
      </c>
      <c r="D352" s="81"/>
    </row>
    <row r="353" spans="1:4" ht="15.75" thickBot="1" x14ac:dyDescent="0.3">
      <c r="A353" s="83" t="s">
        <v>869</v>
      </c>
      <c r="B353" s="83" t="s">
        <v>296</v>
      </c>
      <c r="C353" s="84">
        <v>0</v>
      </c>
      <c r="D353" s="81"/>
    </row>
    <row r="354" spans="1:4" ht="15.75" thickBot="1" x14ac:dyDescent="0.3">
      <c r="A354" s="82" t="s">
        <v>870</v>
      </c>
      <c r="B354" s="83" t="s">
        <v>296</v>
      </c>
      <c r="C354" s="84">
        <v>0</v>
      </c>
      <c r="D354" s="81"/>
    </row>
    <row r="355" spans="1:4" ht="15.75" thickBot="1" x14ac:dyDescent="0.3">
      <c r="A355" s="82" t="s">
        <v>871</v>
      </c>
      <c r="B355" s="83" t="s">
        <v>296</v>
      </c>
      <c r="C355" s="84">
        <v>0</v>
      </c>
      <c r="D355" s="81"/>
    </row>
    <row r="356" spans="1:4" ht="15.75" thickBot="1" x14ac:dyDescent="0.3">
      <c r="A356" s="82" t="s">
        <v>872</v>
      </c>
      <c r="B356" s="83" t="s">
        <v>296</v>
      </c>
      <c r="C356" s="84">
        <v>0</v>
      </c>
      <c r="D356" s="81"/>
    </row>
    <row r="357" spans="1:4" ht="15.75" thickBot="1" x14ac:dyDescent="0.3">
      <c r="A357" s="82" t="s">
        <v>873</v>
      </c>
      <c r="B357" s="83" t="s">
        <v>296</v>
      </c>
      <c r="C357" s="84">
        <v>0</v>
      </c>
      <c r="D357" s="81"/>
    </row>
    <row r="358" spans="1:4" ht="15.75" thickBot="1" x14ac:dyDescent="0.3">
      <c r="A358" s="82" t="s">
        <v>874</v>
      </c>
      <c r="B358" s="83" t="s">
        <v>296</v>
      </c>
      <c r="C358" s="84">
        <v>0</v>
      </c>
      <c r="D358" s="81"/>
    </row>
    <row r="359" spans="1:4" ht="15.75" thickBot="1" x14ac:dyDescent="0.3">
      <c r="A359" s="82" t="s">
        <v>875</v>
      </c>
      <c r="B359" s="83" t="s">
        <v>296</v>
      </c>
      <c r="C359" s="84">
        <v>0</v>
      </c>
      <c r="D359" s="81"/>
    </row>
    <row r="360" spans="1:4" ht="15.75" thickBot="1" x14ac:dyDescent="0.3">
      <c r="A360" s="82" t="s">
        <v>876</v>
      </c>
      <c r="B360" s="83" t="s">
        <v>509</v>
      </c>
      <c r="C360" s="84">
        <v>0</v>
      </c>
      <c r="D360" s="81"/>
    </row>
    <row r="361" spans="1:4" ht="15.75" thickBot="1" x14ac:dyDescent="0.3">
      <c r="A361" s="82" t="s">
        <v>877</v>
      </c>
      <c r="B361" s="83" t="s">
        <v>511</v>
      </c>
      <c r="C361" s="84">
        <v>0</v>
      </c>
      <c r="D361" s="81"/>
    </row>
    <row r="362" spans="1:4" ht="15.75" thickBot="1" x14ac:dyDescent="0.3">
      <c r="A362" s="82" t="s">
        <v>878</v>
      </c>
      <c r="B362" s="83" t="s">
        <v>439</v>
      </c>
      <c r="C362" s="84">
        <v>0</v>
      </c>
      <c r="D362" s="81"/>
    </row>
    <row r="363" spans="1:4" ht="15.75" thickBot="1" x14ac:dyDescent="0.3">
      <c r="A363" s="82" t="s">
        <v>879</v>
      </c>
      <c r="B363" s="83" t="s">
        <v>296</v>
      </c>
      <c r="C363" s="84">
        <v>0</v>
      </c>
      <c r="D363" s="81"/>
    </row>
    <row r="364" spans="1:4" ht="15.75" thickBot="1" x14ac:dyDescent="0.3">
      <c r="A364" s="82" t="s">
        <v>880</v>
      </c>
      <c r="B364" s="83" t="s">
        <v>509</v>
      </c>
      <c r="C364" s="84">
        <v>0</v>
      </c>
      <c r="D364" s="81"/>
    </row>
    <row r="365" spans="1:4" ht="15.75" thickBot="1" x14ac:dyDescent="0.3">
      <c r="A365" s="82" t="s">
        <v>881</v>
      </c>
      <c r="B365" s="83" t="s">
        <v>296</v>
      </c>
      <c r="C365" s="84">
        <v>0</v>
      </c>
      <c r="D365" s="81"/>
    </row>
    <row r="366" spans="1:4" ht="15.75" thickBot="1" x14ac:dyDescent="0.3">
      <c r="A366" s="82" t="s">
        <v>882</v>
      </c>
      <c r="B366" s="83" t="s">
        <v>296</v>
      </c>
      <c r="C366" s="85">
        <v>8</v>
      </c>
      <c r="D366" s="81"/>
    </row>
    <row r="367" spans="1:4" ht="15.75" thickBot="1" x14ac:dyDescent="0.3">
      <c r="A367" s="82" t="s">
        <v>883</v>
      </c>
      <c r="B367" s="83" t="s">
        <v>509</v>
      </c>
      <c r="C367" s="85">
        <v>7</v>
      </c>
      <c r="D367" s="81"/>
    </row>
    <row r="368" spans="1:4" ht="15.75" thickBot="1" x14ac:dyDescent="0.3">
      <c r="A368" s="82" t="s">
        <v>884</v>
      </c>
      <c r="B368" s="83" t="s">
        <v>511</v>
      </c>
      <c r="C368" s="86">
        <v>2</v>
      </c>
      <c r="D368" s="81"/>
    </row>
    <row r="369" spans="1:4" ht="15.75" thickBot="1" x14ac:dyDescent="0.3">
      <c r="A369" s="82" t="s">
        <v>331</v>
      </c>
      <c r="B369" s="83" t="s">
        <v>439</v>
      </c>
      <c r="C369" s="86">
        <v>4</v>
      </c>
      <c r="D369" s="81"/>
    </row>
    <row r="370" spans="1:4" ht="15.75" thickBot="1" x14ac:dyDescent="0.3">
      <c r="A370" s="82" t="s">
        <v>885</v>
      </c>
      <c r="B370" s="83" t="s">
        <v>296</v>
      </c>
      <c r="C370" s="84">
        <v>0</v>
      </c>
      <c r="D370" s="81"/>
    </row>
    <row r="371" spans="1:4" ht="15.75" thickBot="1" x14ac:dyDescent="0.3">
      <c r="A371" s="82" t="s">
        <v>886</v>
      </c>
      <c r="B371" s="83" t="s">
        <v>509</v>
      </c>
      <c r="C371" s="84">
        <v>0</v>
      </c>
      <c r="D371" s="81"/>
    </row>
    <row r="372" spans="1:4" ht="15.75" thickBot="1" x14ac:dyDescent="0.3">
      <c r="A372" s="82" t="s">
        <v>887</v>
      </c>
      <c r="B372" s="83" t="s">
        <v>511</v>
      </c>
      <c r="C372" s="84">
        <v>0</v>
      </c>
      <c r="D372" s="81"/>
    </row>
    <row r="373" spans="1:4" ht="15.75" thickBot="1" x14ac:dyDescent="0.3">
      <c r="A373" s="82" t="s">
        <v>888</v>
      </c>
      <c r="B373" s="83" t="s">
        <v>439</v>
      </c>
      <c r="C373" s="84">
        <v>0</v>
      </c>
      <c r="D373" s="81"/>
    </row>
    <row r="374" spans="1:4" ht="15.75" thickBot="1" x14ac:dyDescent="0.3">
      <c r="A374" s="82" t="s">
        <v>889</v>
      </c>
      <c r="B374" s="83" t="s">
        <v>494</v>
      </c>
      <c r="C374" s="84">
        <v>0</v>
      </c>
      <c r="D374" s="81"/>
    </row>
    <row r="375" spans="1:4" ht="15.75" thickBot="1" x14ac:dyDescent="0.3">
      <c r="A375" s="82" t="s">
        <v>890</v>
      </c>
      <c r="B375" s="83" t="s">
        <v>494</v>
      </c>
      <c r="C375" s="84">
        <v>0</v>
      </c>
      <c r="D375" s="81"/>
    </row>
    <row r="376" spans="1:4" ht="15.75" thickBot="1" x14ac:dyDescent="0.3">
      <c r="A376" s="82" t="s">
        <v>891</v>
      </c>
      <c r="B376" s="83" t="s">
        <v>494</v>
      </c>
      <c r="C376" s="84">
        <v>0</v>
      </c>
      <c r="D376" s="81"/>
    </row>
    <row r="377" spans="1:4" ht="15.75" thickBot="1" x14ac:dyDescent="0.3">
      <c r="A377" s="82" t="s">
        <v>892</v>
      </c>
      <c r="B377" s="83" t="s">
        <v>494</v>
      </c>
      <c r="C377" s="84">
        <v>0</v>
      </c>
      <c r="D377" s="81"/>
    </row>
    <row r="378" spans="1:4" ht="15.75" thickBot="1" x14ac:dyDescent="0.3">
      <c r="A378" s="82" t="s">
        <v>893</v>
      </c>
      <c r="B378" s="83" t="s">
        <v>544</v>
      </c>
      <c r="C378" s="84">
        <v>0</v>
      </c>
      <c r="D378" s="81"/>
    </row>
    <row r="379" spans="1:4" ht="15.75" thickBot="1" x14ac:dyDescent="0.3">
      <c r="A379" s="82" t="s">
        <v>894</v>
      </c>
      <c r="B379" s="83" t="s">
        <v>753</v>
      </c>
      <c r="C379" s="84">
        <v>0</v>
      </c>
      <c r="D379" s="81"/>
    </row>
    <row r="380" spans="1:4" ht="15.75" thickBot="1" x14ac:dyDescent="0.3">
      <c r="A380" s="82" t="s">
        <v>895</v>
      </c>
      <c r="B380" s="83" t="s">
        <v>459</v>
      </c>
      <c r="C380" s="84">
        <v>0</v>
      </c>
      <c r="D380" s="81"/>
    </row>
    <row r="381" spans="1:4" ht="15.75" thickBot="1" x14ac:dyDescent="0.3">
      <c r="A381" s="82" t="s">
        <v>896</v>
      </c>
      <c r="B381" s="83" t="s">
        <v>544</v>
      </c>
      <c r="C381" s="86">
        <v>2</v>
      </c>
      <c r="D381" s="81"/>
    </row>
    <row r="382" spans="1:4" ht="15.75" thickBot="1" x14ac:dyDescent="0.3">
      <c r="A382" s="82" t="s">
        <v>897</v>
      </c>
      <c r="B382" s="83" t="s">
        <v>494</v>
      </c>
      <c r="C382" s="84">
        <v>0</v>
      </c>
      <c r="D382" s="81"/>
    </row>
    <row r="383" spans="1:4" ht="15.75" thickBot="1" x14ac:dyDescent="0.3">
      <c r="A383" s="82" t="s">
        <v>898</v>
      </c>
      <c r="B383" s="83" t="s">
        <v>544</v>
      </c>
      <c r="C383" s="85">
        <v>1204</v>
      </c>
      <c r="D383" s="81"/>
    </row>
    <row r="384" spans="1:4" ht="15.75" thickBot="1" x14ac:dyDescent="0.3">
      <c r="A384" s="82" t="s">
        <v>899</v>
      </c>
      <c r="B384" s="83" t="s">
        <v>544</v>
      </c>
      <c r="C384" s="85">
        <v>172</v>
      </c>
      <c r="D384" s="81"/>
    </row>
    <row r="385" spans="1:4" ht="27" thickBot="1" x14ac:dyDescent="0.3">
      <c r="A385" s="82" t="s">
        <v>900</v>
      </c>
      <c r="B385" s="83" t="s">
        <v>544</v>
      </c>
      <c r="C385" s="85">
        <v>75</v>
      </c>
      <c r="D385" s="81"/>
    </row>
    <row r="386" spans="1:4" ht="27" thickBot="1" x14ac:dyDescent="0.3">
      <c r="A386" s="82" t="s">
        <v>901</v>
      </c>
      <c r="B386" s="83" t="s">
        <v>544</v>
      </c>
      <c r="C386" s="86">
        <v>5</v>
      </c>
      <c r="D386" s="81"/>
    </row>
    <row r="387" spans="1:4" ht="15.75" thickBot="1" x14ac:dyDescent="0.3">
      <c r="A387" s="82" t="s">
        <v>902</v>
      </c>
      <c r="B387" s="83" t="s">
        <v>544</v>
      </c>
      <c r="C387" s="84">
        <v>0</v>
      </c>
      <c r="D387" s="81"/>
    </row>
    <row r="388" spans="1:4" ht="15.75" thickBot="1" x14ac:dyDescent="0.3">
      <c r="A388" s="82" t="s">
        <v>903</v>
      </c>
      <c r="B388" s="83" t="s">
        <v>544</v>
      </c>
      <c r="C388" s="84">
        <v>0</v>
      </c>
      <c r="D388" s="81"/>
    </row>
    <row r="389" spans="1:4" ht="15.75" thickBot="1" x14ac:dyDescent="0.3">
      <c r="A389" s="82" t="s">
        <v>904</v>
      </c>
      <c r="B389" s="83" t="s">
        <v>677</v>
      </c>
      <c r="C389" s="85">
        <v>13</v>
      </c>
      <c r="D389" s="81"/>
    </row>
    <row r="390" spans="1:4" ht="15.75" thickBot="1" x14ac:dyDescent="0.3">
      <c r="A390" s="82" t="s">
        <v>905</v>
      </c>
      <c r="B390" s="83" t="s">
        <v>494</v>
      </c>
      <c r="C390" s="84">
        <v>0</v>
      </c>
      <c r="D390" s="81"/>
    </row>
    <row r="391" spans="1:4" ht="15.75" thickBot="1" x14ac:dyDescent="0.3">
      <c r="A391" s="82" t="s">
        <v>906</v>
      </c>
      <c r="B391" s="83" t="s">
        <v>494</v>
      </c>
      <c r="C391" s="84">
        <v>0</v>
      </c>
      <c r="D391" s="81"/>
    </row>
    <row r="392" spans="1:4" ht="15.75" thickBot="1" x14ac:dyDescent="0.3">
      <c r="A392" s="82" t="s">
        <v>907</v>
      </c>
      <c r="B392" s="83" t="s">
        <v>296</v>
      </c>
      <c r="C392" s="84">
        <v>0</v>
      </c>
      <c r="D392" s="81"/>
    </row>
    <row r="393" spans="1:4" ht="15.75" thickBot="1" x14ac:dyDescent="0.3">
      <c r="A393" s="82" t="s">
        <v>908</v>
      </c>
      <c r="B393" s="83" t="s">
        <v>296</v>
      </c>
      <c r="C393" s="84">
        <v>0</v>
      </c>
      <c r="D393" s="81"/>
    </row>
    <row r="394" spans="1:4" ht="15.75" thickBot="1" x14ac:dyDescent="0.3">
      <c r="A394" s="82" t="s">
        <v>909</v>
      </c>
      <c r="B394" s="83" t="s">
        <v>296</v>
      </c>
      <c r="C394" s="86">
        <v>2</v>
      </c>
      <c r="D394" s="81"/>
    </row>
    <row r="395" spans="1:4" ht="15.75" thickBot="1" x14ac:dyDescent="0.3">
      <c r="A395" s="82" t="s">
        <v>910</v>
      </c>
      <c r="B395" s="83" t="s">
        <v>296</v>
      </c>
      <c r="C395" s="84">
        <v>0</v>
      </c>
      <c r="D395" s="81"/>
    </row>
    <row r="396" spans="1:4" ht="15.75" thickBot="1" x14ac:dyDescent="0.3">
      <c r="A396" s="82" t="s">
        <v>911</v>
      </c>
      <c r="B396" s="83" t="s">
        <v>296</v>
      </c>
      <c r="C396" s="85">
        <v>8</v>
      </c>
      <c r="D396" s="81"/>
    </row>
    <row r="397" spans="1:4" ht="15.75" thickBot="1" x14ac:dyDescent="0.3">
      <c r="A397" s="82" t="s">
        <v>912</v>
      </c>
      <c r="B397" s="83" t="s">
        <v>296</v>
      </c>
      <c r="C397" s="84">
        <v>0</v>
      </c>
      <c r="D397" s="81"/>
    </row>
    <row r="398" spans="1:4" ht="15.75" thickBot="1" x14ac:dyDescent="0.3">
      <c r="A398" s="82" t="s">
        <v>913</v>
      </c>
      <c r="B398" s="83" t="s">
        <v>296</v>
      </c>
      <c r="C398" s="85">
        <v>12</v>
      </c>
      <c r="D398" s="81"/>
    </row>
    <row r="399" spans="1:4" ht="15.75" thickBot="1" x14ac:dyDescent="0.3">
      <c r="A399" s="82" t="s">
        <v>914</v>
      </c>
      <c r="B399" s="83" t="s">
        <v>296</v>
      </c>
      <c r="C399" s="84">
        <v>1</v>
      </c>
      <c r="D399" s="81"/>
    </row>
    <row r="400" spans="1:4" ht="15.75" thickBot="1" x14ac:dyDescent="0.3">
      <c r="A400" s="82" t="s">
        <v>915</v>
      </c>
      <c r="B400" s="83" t="s">
        <v>916</v>
      </c>
      <c r="C400" s="84">
        <v>0</v>
      </c>
      <c r="D400" s="81"/>
    </row>
    <row r="401" spans="1:4" ht="15.75" thickBot="1" x14ac:dyDescent="0.3">
      <c r="A401" s="82" t="s">
        <v>917</v>
      </c>
      <c r="B401" s="83" t="s">
        <v>296</v>
      </c>
      <c r="C401" s="84">
        <v>0</v>
      </c>
      <c r="D401" s="81"/>
    </row>
    <row r="402" spans="1:4" ht="15.75" thickBot="1" x14ac:dyDescent="0.3">
      <c r="A402" s="82" t="s">
        <v>918</v>
      </c>
      <c r="B402" s="83" t="s">
        <v>296</v>
      </c>
      <c r="C402" s="84">
        <v>0</v>
      </c>
      <c r="D402" s="81"/>
    </row>
    <row r="403" spans="1:4" ht="15.75" thickBot="1" x14ac:dyDescent="0.3">
      <c r="A403" s="82" t="s">
        <v>919</v>
      </c>
      <c r="B403" s="83" t="s">
        <v>920</v>
      </c>
      <c r="C403" s="84">
        <v>0</v>
      </c>
      <c r="D403" s="81"/>
    </row>
    <row r="404" spans="1:4" ht="15.75" thickBot="1" x14ac:dyDescent="0.3">
      <c r="A404" s="82" t="s">
        <v>921</v>
      </c>
      <c r="B404" s="83" t="s">
        <v>296</v>
      </c>
      <c r="C404" s="84">
        <v>0</v>
      </c>
      <c r="D404" s="81"/>
    </row>
    <row r="405" spans="1:4" ht="15.75" thickBot="1" x14ac:dyDescent="0.3">
      <c r="A405" s="82" t="s">
        <v>922</v>
      </c>
      <c r="B405" s="83" t="s">
        <v>923</v>
      </c>
      <c r="C405" s="85">
        <v>12</v>
      </c>
      <c r="D405" s="81"/>
    </row>
    <row r="406" spans="1:4" ht="15.75" thickBot="1" x14ac:dyDescent="0.3">
      <c r="A406" s="82" t="s">
        <v>924</v>
      </c>
      <c r="B406" s="83" t="s">
        <v>923</v>
      </c>
      <c r="C406" s="85">
        <v>26</v>
      </c>
      <c r="D406" s="81"/>
    </row>
    <row r="407" spans="1:4" ht="15.75" thickBot="1" x14ac:dyDescent="0.3">
      <c r="A407" s="82" t="s">
        <v>925</v>
      </c>
      <c r="B407" s="83" t="s">
        <v>677</v>
      </c>
      <c r="C407" s="84">
        <v>0</v>
      </c>
      <c r="D407" s="81"/>
    </row>
    <row r="408" spans="1:4" ht="15.75" thickBot="1" x14ac:dyDescent="0.3">
      <c r="A408" s="82" t="s">
        <v>926</v>
      </c>
      <c r="B408" s="83" t="s">
        <v>677</v>
      </c>
      <c r="C408" s="84">
        <v>0</v>
      </c>
      <c r="D408" s="81"/>
    </row>
    <row r="409" spans="1:4" ht="15.75" thickBot="1" x14ac:dyDescent="0.3">
      <c r="A409" s="82" t="s">
        <v>927</v>
      </c>
      <c r="B409" s="83" t="s">
        <v>439</v>
      </c>
      <c r="C409" s="84">
        <v>0</v>
      </c>
      <c r="D409" s="81"/>
    </row>
    <row r="410" spans="1:4" ht="15.75" thickBot="1" x14ac:dyDescent="0.3">
      <c r="A410" s="82" t="s">
        <v>928</v>
      </c>
      <c r="B410" s="83" t="s">
        <v>759</v>
      </c>
      <c r="C410" s="84">
        <v>0</v>
      </c>
      <c r="D410" s="81"/>
    </row>
    <row r="411" spans="1:4" ht="15.75" thickBot="1" x14ac:dyDescent="0.3">
      <c r="A411" s="82" t="s">
        <v>929</v>
      </c>
      <c r="B411" s="83" t="s">
        <v>759</v>
      </c>
      <c r="C411" s="84">
        <v>0</v>
      </c>
      <c r="D411" s="81"/>
    </row>
    <row r="412" spans="1:4" ht="15.75" thickBot="1" x14ac:dyDescent="0.3">
      <c r="A412" s="82" t="s">
        <v>930</v>
      </c>
      <c r="B412" s="83" t="s">
        <v>759</v>
      </c>
      <c r="C412" s="85">
        <v>24</v>
      </c>
      <c r="D412" s="81"/>
    </row>
    <row r="413" spans="1:4" ht="15.75" thickBot="1" x14ac:dyDescent="0.3">
      <c r="A413" s="82" t="s">
        <v>931</v>
      </c>
      <c r="B413" s="83" t="s">
        <v>761</v>
      </c>
      <c r="C413" s="84">
        <v>0</v>
      </c>
      <c r="D413" s="81"/>
    </row>
    <row r="414" spans="1:4" ht="15.75" thickBot="1" x14ac:dyDescent="0.3">
      <c r="A414" s="82" t="s">
        <v>932</v>
      </c>
      <c r="B414" s="83" t="s">
        <v>761</v>
      </c>
      <c r="C414" s="84">
        <v>0</v>
      </c>
      <c r="D414" s="81"/>
    </row>
    <row r="415" spans="1:4" ht="15.75" thickBot="1" x14ac:dyDescent="0.3">
      <c r="A415" s="82" t="s">
        <v>933</v>
      </c>
      <c r="B415" s="83" t="s">
        <v>761</v>
      </c>
      <c r="C415" s="84">
        <v>0</v>
      </c>
      <c r="D415" s="81"/>
    </row>
    <row r="416" spans="1:4" ht="15.75" thickBot="1" x14ac:dyDescent="0.3">
      <c r="A416" s="82" t="s">
        <v>934</v>
      </c>
      <c r="B416" s="83" t="s">
        <v>761</v>
      </c>
      <c r="C416" s="85">
        <v>7</v>
      </c>
      <c r="D416" s="81"/>
    </row>
    <row r="417" spans="1:4" ht="15.75" thickBot="1" x14ac:dyDescent="0.3">
      <c r="A417" s="82" t="s">
        <v>935</v>
      </c>
      <c r="B417" s="83" t="s">
        <v>936</v>
      </c>
      <c r="C417" s="84">
        <v>0</v>
      </c>
      <c r="D417" s="81"/>
    </row>
    <row r="418" spans="1:4" ht="15.75" thickBot="1" x14ac:dyDescent="0.3">
      <c r="A418" s="82" t="s">
        <v>937</v>
      </c>
      <c r="B418" s="83" t="s">
        <v>546</v>
      </c>
      <c r="C418" s="84">
        <v>0</v>
      </c>
      <c r="D418" s="81"/>
    </row>
    <row r="419" spans="1:4" ht="15.75" thickBot="1" x14ac:dyDescent="0.3">
      <c r="A419" s="82" t="s">
        <v>938</v>
      </c>
      <c r="B419" s="83" t="s">
        <v>546</v>
      </c>
      <c r="C419" s="84">
        <v>0</v>
      </c>
      <c r="D419" s="81"/>
    </row>
    <row r="420" spans="1:4" ht="15.75" thickBot="1" x14ac:dyDescent="0.3">
      <c r="A420" s="82" t="s">
        <v>939</v>
      </c>
      <c r="B420" s="83" t="s">
        <v>546</v>
      </c>
      <c r="C420" s="84">
        <v>0</v>
      </c>
      <c r="D420" s="81"/>
    </row>
    <row r="421" spans="1:4" ht="15.75" thickBot="1" x14ac:dyDescent="0.3">
      <c r="A421" s="82" t="s">
        <v>940</v>
      </c>
      <c r="B421" s="83" t="s">
        <v>546</v>
      </c>
      <c r="C421" s="84">
        <v>0</v>
      </c>
      <c r="D421" s="81"/>
    </row>
    <row r="422" spans="1:4" ht="15.75" thickBot="1" x14ac:dyDescent="0.3">
      <c r="A422" s="82" t="s">
        <v>941</v>
      </c>
      <c r="B422" s="83" t="s">
        <v>942</v>
      </c>
      <c r="C422" s="84">
        <v>0</v>
      </c>
      <c r="D422" s="81"/>
    </row>
    <row r="423" spans="1:4" ht="15.75" thickBot="1" x14ac:dyDescent="0.3">
      <c r="A423" s="82" t="s">
        <v>943</v>
      </c>
      <c r="B423" s="83" t="s">
        <v>944</v>
      </c>
      <c r="C423" s="84">
        <v>0</v>
      </c>
      <c r="D423" s="81"/>
    </row>
    <row r="424" spans="1:4" ht="15.75" thickBot="1" x14ac:dyDescent="0.3">
      <c r="A424" s="82" t="s">
        <v>945</v>
      </c>
      <c r="B424" s="83" t="s">
        <v>596</v>
      </c>
      <c r="C424" s="84">
        <v>0</v>
      </c>
      <c r="D424" s="81"/>
    </row>
    <row r="425" spans="1:4" ht="15.75" thickBot="1" x14ac:dyDescent="0.3">
      <c r="A425" s="82" t="s">
        <v>946</v>
      </c>
      <c r="B425" s="83" t="s">
        <v>596</v>
      </c>
      <c r="C425" s="84">
        <v>0</v>
      </c>
      <c r="D425" s="81"/>
    </row>
    <row r="426" spans="1:4" ht="15.75" thickBot="1" x14ac:dyDescent="0.3">
      <c r="A426" s="82" t="s">
        <v>947</v>
      </c>
      <c r="B426" s="83" t="s">
        <v>596</v>
      </c>
      <c r="C426" s="84">
        <v>0</v>
      </c>
      <c r="D426" s="81"/>
    </row>
    <row r="427" spans="1:4" ht="15.75" thickBot="1" x14ac:dyDescent="0.3">
      <c r="A427" s="82" t="s">
        <v>948</v>
      </c>
      <c r="B427" s="83" t="s">
        <v>596</v>
      </c>
      <c r="C427" s="86">
        <v>3</v>
      </c>
      <c r="D427" s="81"/>
    </row>
    <row r="428" spans="1:4" ht="15.75" thickBot="1" x14ac:dyDescent="0.3">
      <c r="A428" s="82" t="s">
        <v>949</v>
      </c>
      <c r="B428" s="83" t="s">
        <v>296</v>
      </c>
      <c r="C428" s="84">
        <v>0</v>
      </c>
      <c r="D428" s="81"/>
    </row>
    <row r="429" spans="1:4" ht="15.75" thickBot="1" x14ac:dyDescent="0.3">
      <c r="A429" s="82" t="s">
        <v>950</v>
      </c>
      <c r="B429" s="83" t="s">
        <v>296</v>
      </c>
      <c r="C429" s="84">
        <v>0</v>
      </c>
      <c r="D429" s="81"/>
    </row>
    <row r="430" spans="1:4" ht="15.75" thickBot="1" x14ac:dyDescent="0.3">
      <c r="A430" s="82" t="s">
        <v>951</v>
      </c>
      <c r="B430" s="83" t="s">
        <v>296</v>
      </c>
      <c r="C430" s="84">
        <v>0</v>
      </c>
      <c r="D430" s="81"/>
    </row>
    <row r="431" spans="1:4" ht="15.75" thickBot="1" x14ac:dyDescent="0.3">
      <c r="A431" s="82" t="s">
        <v>952</v>
      </c>
      <c r="B431" s="83" t="s">
        <v>296</v>
      </c>
      <c r="C431" s="84">
        <v>0</v>
      </c>
      <c r="D431" s="81"/>
    </row>
    <row r="432" spans="1:4" ht="15.75" thickBot="1" x14ac:dyDescent="0.3">
      <c r="A432" s="82" t="s">
        <v>953</v>
      </c>
      <c r="B432" s="83" t="s">
        <v>296</v>
      </c>
      <c r="C432" s="86">
        <v>4</v>
      </c>
      <c r="D432" s="81"/>
    </row>
    <row r="433" spans="1:4" ht="15.75" thickBot="1" x14ac:dyDescent="0.3">
      <c r="A433" s="82" t="s">
        <v>954</v>
      </c>
      <c r="B433" s="83" t="s">
        <v>677</v>
      </c>
      <c r="C433" s="84">
        <v>0</v>
      </c>
      <c r="D433" s="81"/>
    </row>
    <row r="434" spans="1:4" ht="15.75" thickBot="1" x14ac:dyDescent="0.3">
      <c r="A434" s="82" t="s">
        <v>955</v>
      </c>
      <c r="B434" s="83" t="s">
        <v>494</v>
      </c>
      <c r="C434" s="84">
        <v>0</v>
      </c>
      <c r="D434" s="81"/>
    </row>
    <row r="435" spans="1:4" ht="15.75" thickBot="1" x14ac:dyDescent="0.3">
      <c r="A435" s="82" t="s">
        <v>956</v>
      </c>
      <c r="B435" s="83" t="s">
        <v>544</v>
      </c>
      <c r="C435" s="84">
        <v>0</v>
      </c>
      <c r="D435" s="81"/>
    </row>
    <row r="436" spans="1:4" ht="15.75" thickBot="1" x14ac:dyDescent="0.3">
      <c r="A436" s="82" t="s">
        <v>957</v>
      </c>
      <c r="B436" s="83" t="s">
        <v>677</v>
      </c>
      <c r="C436" s="84">
        <v>0</v>
      </c>
      <c r="D436" s="81"/>
    </row>
    <row r="437" spans="1:4" ht="15.75" thickBot="1" x14ac:dyDescent="0.3">
      <c r="A437" s="82" t="s">
        <v>958</v>
      </c>
      <c r="B437" s="83" t="s">
        <v>494</v>
      </c>
      <c r="C437" s="84">
        <v>0</v>
      </c>
      <c r="D437" s="81"/>
    </row>
    <row r="438" spans="1:4" ht="15.75" thickBot="1" x14ac:dyDescent="0.3">
      <c r="A438" s="82" t="s">
        <v>959</v>
      </c>
      <c r="B438" s="83" t="s">
        <v>544</v>
      </c>
      <c r="C438" s="84">
        <v>0</v>
      </c>
      <c r="D438" s="81"/>
    </row>
    <row r="439" spans="1:4" ht="15.75" thickBot="1" x14ac:dyDescent="0.3">
      <c r="A439" s="82" t="s">
        <v>960</v>
      </c>
      <c r="B439" s="83" t="s">
        <v>494</v>
      </c>
      <c r="C439" s="84">
        <v>0</v>
      </c>
      <c r="D439" s="81"/>
    </row>
    <row r="440" spans="1:4" ht="15.75" thickBot="1" x14ac:dyDescent="0.3">
      <c r="A440" s="82" t="s">
        <v>961</v>
      </c>
      <c r="B440" s="83" t="s">
        <v>494</v>
      </c>
      <c r="C440" s="84">
        <v>0</v>
      </c>
      <c r="D440" s="81"/>
    </row>
    <row r="441" spans="1:4" ht="15.75" thickBot="1" x14ac:dyDescent="0.3">
      <c r="A441" s="82" t="s">
        <v>962</v>
      </c>
      <c r="B441" s="83" t="s">
        <v>546</v>
      </c>
      <c r="C441" s="84">
        <v>0</v>
      </c>
      <c r="D441" s="81"/>
    </row>
    <row r="442" spans="1:4" ht="15.75" thickBot="1" x14ac:dyDescent="0.3">
      <c r="A442" s="82" t="s">
        <v>963</v>
      </c>
      <c r="B442" s="83" t="s">
        <v>296</v>
      </c>
      <c r="C442" s="85">
        <v>11</v>
      </c>
      <c r="D442" s="81"/>
    </row>
    <row r="443" spans="1:4" ht="15.75" thickBot="1" x14ac:dyDescent="0.3">
      <c r="A443" s="82" t="s">
        <v>964</v>
      </c>
      <c r="B443" s="83" t="s">
        <v>509</v>
      </c>
      <c r="C443" s="85">
        <v>6</v>
      </c>
      <c r="D443" s="81" t="s">
        <v>548</v>
      </c>
    </row>
    <row r="444" spans="1:4" ht="15.75" thickBot="1" x14ac:dyDescent="0.3">
      <c r="A444" s="82" t="s">
        <v>965</v>
      </c>
      <c r="B444" s="83" t="s">
        <v>511</v>
      </c>
      <c r="C444" s="84">
        <v>1</v>
      </c>
      <c r="D444" s="81"/>
    </row>
    <row r="445" spans="1:4" ht="15.75" thickBot="1" x14ac:dyDescent="0.3">
      <c r="A445" s="82" t="s">
        <v>966</v>
      </c>
      <c r="B445" s="83" t="s">
        <v>439</v>
      </c>
      <c r="C445" s="86">
        <v>2</v>
      </c>
      <c r="D445" s="81"/>
    </row>
    <row r="446" spans="1:4" ht="15.75" thickBot="1" x14ac:dyDescent="0.3">
      <c r="A446" s="82" t="s">
        <v>967</v>
      </c>
      <c r="B446" s="83" t="s">
        <v>546</v>
      </c>
      <c r="C446" s="84">
        <v>0</v>
      </c>
      <c r="D446" s="81"/>
    </row>
    <row r="447" spans="1:4" ht="15.75" thickBot="1" x14ac:dyDescent="0.3">
      <c r="A447" s="82" t="s">
        <v>968</v>
      </c>
      <c r="B447" s="83" t="s">
        <v>296</v>
      </c>
      <c r="C447" s="84">
        <v>1</v>
      </c>
      <c r="D447" s="81"/>
    </row>
    <row r="448" spans="1:4" ht="15.75" thickBot="1" x14ac:dyDescent="0.3">
      <c r="A448" s="82" t="s">
        <v>969</v>
      </c>
      <c r="B448" s="83" t="s">
        <v>509</v>
      </c>
      <c r="C448" s="86">
        <v>4</v>
      </c>
      <c r="D448" s="81"/>
    </row>
    <row r="449" spans="1:4" ht="15.75" thickBot="1" x14ac:dyDescent="0.3">
      <c r="A449" s="82" t="s">
        <v>970</v>
      </c>
      <c r="B449" s="83" t="s">
        <v>511</v>
      </c>
      <c r="C449" s="84">
        <v>0</v>
      </c>
      <c r="D449" s="81" t="s">
        <v>971</v>
      </c>
    </row>
    <row r="450" spans="1:4" ht="15.75" thickBot="1" x14ac:dyDescent="0.3">
      <c r="A450" s="82" t="s">
        <v>972</v>
      </c>
      <c r="B450" s="83" t="s">
        <v>439</v>
      </c>
      <c r="C450" s="84">
        <v>0</v>
      </c>
      <c r="D450" s="81"/>
    </row>
    <row r="451" spans="1:4" ht="15.75" thickBot="1" x14ac:dyDescent="0.3">
      <c r="A451" s="82" t="s">
        <v>973</v>
      </c>
      <c r="B451" s="83" t="s">
        <v>546</v>
      </c>
      <c r="C451" s="84">
        <v>0</v>
      </c>
      <c r="D451" s="81"/>
    </row>
    <row r="452" spans="1:4" ht="15.75" thickBot="1" x14ac:dyDescent="0.3">
      <c r="A452" s="82" t="s">
        <v>974</v>
      </c>
      <c r="B452" s="83" t="s">
        <v>296</v>
      </c>
      <c r="C452" s="85">
        <v>6</v>
      </c>
      <c r="D452" s="81"/>
    </row>
    <row r="453" spans="1:4" ht="15.75" thickBot="1" x14ac:dyDescent="0.3">
      <c r="A453" s="82" t="s">
        <v>975</v>
      </c>
      <c r="B453" s="83" t="s">
        <v>509</v>
      </c>
      <c r="C453" s="86">
        <v>5</v>
      </c>
      <c r="D453" s="81" t="s">
        <v>976</v>
      </c>
    </row>
    <row r="454" spans="1:4" ht="15.75" thickBot="1" x14ac:dyDescent="0.3">
      <c r="A454" s="82" t="s">
        <v>977</v>
      </c>
      <c r="B454" s="83" t="s">
        <v>511</v>
      </c>
      <c r="C454" s="84">
        <v>1</v>
      </c>
      <c r="D454" s="81"/>
    </row>
    <row r="455" spans="1:4" ht="15.75" thickBot="1" x14ac:dyDescent="0.3">
      <c r="A455" s="82" t="s">
        <v>978</v>
      </c>
      <c r="B455" s="83" t="s">
        <v>439</v>
      </c>
      <c r="C455" s="86">
        <v>3</v>
      </c>
      <c r="D455" s="81"/>
    </row>
    <row r="456" spans="1:4" ht="15.75" thickBot="1" x14ac:dyDescent="0.3">
      <c r="A456" s="82" t="s">
        <v>979</v>
      </c>
      <c r="B456" s="83" t="s">
        <v>546</v>
      </c>
      <c r="C456" s="84">
        <v>0</v>
      </c>
      <c r="D456" s="81"/>
    </row>
    <row r="457" spans="1:4" ht="15.75" thickBot="1" x14ac:dyDescent="0.3">
      <c r="A457" s="82" t="s">
        <v>980</v>
      </c>
      <c r="B457" s="83" t="s">
        <v>296</v>
      </c>
      <c r="C457" s="85">
        <v>10</v>
      </c>
      <c r="D457" s="81"/>
    </row>
    <row r="458" spans="1:4" ht="15.75" thickBot="1" x14ac:dyDescent="0.3">
      <c r="A458" s="82" t="s">
        <v>981</v>
      </c>
      <c r="B458" s="83" t="s">
        <v>509</v>
      </c>
      <c r="C458" s="86">
        <v>2</v>
      </c>
      <c r="D458" s="81"/>
    </row>
    <row r="459" spans="1:4" ht="15.75" thickBot="1" x14ac:dyDescent="0.3">
      <c r="A459" s="82" t="s">
        <v>982</v>
      </c>
      <c r="B459" s="83" t="s">
        <v>511</v>
      </c>
      <c r="C459" s="84">
        <v>1</v>
      </c>
      <c r="D459" s="81"/>
    </row>
    <row r="460" spans="1:4" ht="15.75" thickBot="1" x14ac:dyDescent="0.3">
      <c r="A460" s="82" t="s">
        <v>983</v>
      </c>
      <c r="B460" s="83" t="s">
        <v>439</v>
      </c>
      <c r="C460" s="86">
        <v>2</v>
      </c>
      <c r="D460" s="81"/>
    </row>
    <row r="461" spans="1:4" ht="15.75" thickBot="1" x14ac:dyDescent="0.3">
      <c r="A461" s="82" t="s">
        <v>984</v>
      </c>
      <c r="B461" s="83" t="s">
        <v>546</v>
      </c>
      <c r="C461" s="84">
        <v>0</v>
      </c>
      <c r="D461" s="81"/>
    </row>
    <row r="462" spans="1:4" ht="15.75" thickBot="1" x14ac:dyDescent="0.3">
      <c r="A462" s="82" t="s">
        <v>985</v>
      </c>
      <c r="B462" s="83" t="s">
        <v>296</v>
      </c>
      <c r="C462" s="86">
        <v>2</v>
      </c>
      <c r="D462" s="81"/>
    </row>
    <row r="463" spans="1:4" ht="15.75" thickBot="1" x14ac:dyDescent="0.3">
      <c r="A463" s="82" t="s">
        <v>986</v>
      </c>
      <c r="B463" s="83" t="s">
        <v>509</v>
      </c>
      <c r="C463" s="86">
        <v>4</v>
      </c>
      <c r="D463" s="81"/>
    </row>
    <row r="464" spans="1:4" ht="15.75" thickBot="1" x14ac:dyDescent="0.3">
      <c r="A464" s="82" t="s">
        <v>987</v>
      </c>
      <c r="B464" s="83" t="s">
        <v>511</v>
      </c>
      <c r="C464" s="84">
        <v>0</v>
      </c>
      <c r="D464" s="81"/>
    </row>
    <row r="465" spans="1:4" ht="15.75" thickBot="1" x14ac:dyDescent="0.3">
      <c r="A465" s="82" t="s">
        <v>988</v>
      </c>
      <c r="B465" s="83" t="s">
        <v>439</v>
      </c>
      <c r="C465" s="84">
        <v>0</v>
      </c>
      <c r="D465" s="81"/>
    </row>
    <row r="466" spans="1:4" ht="15.75" thickBot="1" x14ac:dyDescent="0.3">
      <c r="A466" s="82" t="s">
        <v>989</v>
      </c>
      <c r="B466" s="83" t="s">
        <v>546</v>
      </c>
      <c r="C466" s="84">
        <v>0</v>
      </c>
      <c r="D466" s="81"/>
    </row>
    <row r="467" spans="1:4" ht="15.75" thickBot="1" x14ac:dyDescent="0.3">
      <c r="A467" s="82" t="s">
        <v>990</v>
      </c>
      <c r="B467" s="83" t="s">
        <v>296</v>
      </c>
      <c r="C467" s="85">
        <v>9</v>
      </c>
      <c r="D467" s="81"/>
    </row>
    <row r="468" spans="1:4" ht="15.75" thickBot="1" x14ac:dyDescent="0.3">
      <c r="A468" s="82" t="s">
        <v>991</v>
      </c>
      <c r="B468" s="83" t="s">
        <v>509</v>
      </c>
      <c r="C468" s="85">
        <v>8</v>
      </c>
      <c r="D468" s="81"/>
    </row>
    <row r="469" spans="1:4" ht="15.75" thickBot="1" x14ac:dyDescent="0.3">
      <c r="A469" s="82" t="s">
        <v>992</v>
      </c>
      <c r="B469" s="83" t="s">
        <v>511</v>
      </c>
      <c r="C469" s="84">
        <v>1</v>
      </c>
      <c r="D469" s="81"/>
    </row>
    <row r="470" spans="1:4" ht="15.75" thickBot="1" x14ac:dyDescent="0.3">
      <c r="A470" s="82" t="s">
        <v>993</v>
      </c>
      <c r="B470" s="83" t="s">
        <v>439</v>
      </c>
      <c r="C470" s="84">
        <v>0</v>
      </c>
      <c r="D470" s="81"/>
    </row>
    <row r="471" spans="1:4" ht="15.75" thickBot="1" x14ac:dyDescent="0.3">
      <c r="A471" s="82" t="s">
        <v>994</v>
      </c>
      <c r="B471" s="83" t="s">
        <v>546</v>
      </c>
      <c r="C471" s="84">
        <v>0</v>
      </c>
      <c r="D471" s="81"/>
    </row>
    <row r="472" spans="1:4" ht="15.75" thickBot="1" x14ac:dyDescent="0.3">
      <c r="A472" s="82" t="s">
        <v>995</v>
      </c>
      <c r="B472" s="83" t="s">
        <v>296</v>
      </c>
      <c r="C472" s="85">
        <v>12</v>
      </c>
      <c r="D472" s="81"/>
    </row>
    <row r="473" spans="1:4" ht="15.75" thickBot="1" x14ac:dyDescent="0.3">
      <c r="A473" s="82" t="s">
        <v>996</v>
      </c>
      <c r="B473" s="83" t="s">
        <v>509</v>
      </c>
      <c r="C473" s="86">
        <v>2</v>
      </c>
      <c r="D473" s="81" t="s">
        <v>997</v>
      </c>
    </row>
    <row r="474" spans="1:4" ht="15.75" thickBot="1" x14ac:dyDescent="0.3">
      <c r="A474" s="82" t="s">
        <v>998</v>
      </c>
      <c r="B474" s="83" t="s">
        <v>511</v>
      </c>
      <c r="C474" s="84">
        <v>1</v>
      </c>
      <c r="D474" s="81" t="s">
        <v>999</v>
      </c>
    </row>
    <row r="475" spans="1:4" ht="15.75" thickBot="1" x14ac:dyDescent="0.3">
      <c r="A475" s="82" t="s">
        <v>1000</v>
      </c>
      <c r="B475" s="83" t="s">
        <v>439</v>
      </c>
      <c r="C475" s="84">
        <v>0</v>
      </c>
      <c r="D475" s="81"/>
    </row>
    <row r="476" spans="1:4" ht="15.75" thickBot="1" x14ac:dyDescent="0.3">
      <c r="A476" s="82" t="s">
        <v>1001</v>
      </c>
      <c r="B476" s="83" t="s">
        <v>296</v>
      </c>
      <c r="C476" s="84">
        <v>0</v>
      </c>
      <c r="D476" s="81"/>
    </row>
    <row r="477" spans="1:4" ht="15.75" thickBot="1" x14ac:dyDescent="0.3">
      <c r="A477" s="82" t="s">
        <v>1002</v>
      </c>
      <c r="B477" s="83" t="s">
        <v>509</v>
      </c>
      <c r="C477" s="84">
        <v>0</v>
      </c>
      <c r="D477" s="81"/>
    </row>
    <row r="478" spans="1:4" ht="15.75" thickBot="1" x14ac:dyDescent="0.3">
      <c r="A478" s="82" t="s">
        <v>1003</v>
      </c>
      <c r="B478" s="83" t="s">
        <v>511</v>
      </c>
      <c r="C478" s="84">
        <v>0</v>
      </c>
      <c r="D478" s="81"/>
    </row>
    <row r="479" spans="1:4" ht="15.75" thickBot="1" x14ac:dyDescent="0.3">
      <c r="A479" s="82" t="s">
        <v>1004</v>
      </c>
      <c r="B479" s="83" t="s">
        <v>439</v>
      </c>
      <c r="C479" s="84">
        <v>0</v>
      </c>
      <c r="D479" s="81"/>
    </row>
    <row r="480" spans="1:4" ht="15.75" thickBot="1" x14ac:dyDescent="0.3">
      <c r="A480" s="82" t="s">
        <v>1005</v>
      </c>
      <c r="B480" s="83" t="s">
        <v>296</v>
      </c>
      <c r="C480" s="84">
        <v>0</v>
      </c>
      <c r="D480" s="81"/>
    </row>
    <row r="481" spans="1:4" ht="15.75" thickBot="1" x14ac:dyDescent="0.3">
      <c r="A481" s="82" t="s">
        <v>1006</v>
      </c>
      <c r="B481" s="83" t="s">
        <v>509</v>
      </c>
      <c r="C481" s="84">
        <v>0</v>
      </c>
      <c r="D481" s="81"/>
    </row>
    <row r="482" spans="1:4" ht="15.75" thickBot="1" x14ac:dyDescent="0.3">
      <c r="A482" s="82" t="s">
        <v>1007</v>
      </c>
      <c r="B482" s="83" t="s">
        <v>511</v>
      </c>
      <c r="C482" s="84">
        <v>0</v>
      </c>
      <c r="D482" s="81"/>
    </row>
    <row r="483" spans="1:4" ht="15.75" thickBot="1" x14ac:dyDescent="0.3">
      <c r="A483" s="82" t="s">
        <v>1008</v>
      </c>
      <c r="B483" s="83" t="s">
        <v>439</v>
      </c>
      <c r="C483" s="84">
        <v>0</v>
      </c>
      <c r="D483" s="81"/>
    </row>
    <row r="484" spans="1:4" ht="15.75" thickBot="1" x14ac:dyDescent="0.3">
      <c r="A484" s="82" t="s">
        <v>1009</v>
      </c>
      <c r="B484" s="83" t="s">
        <v>296</v>
      </c>
      <c r="C484" s="84">
        <v>0</v>
      </c>
      <c r="D484" s="81"/>
    </row>
    <row r="485" spans="1:4" ht="15.75" thickBot="1" x14ac:dyDescent="0.3">
      <c r="A485" s="82" t="s">
        <v>1010</v>
      </c>
      <c r="B485" s="83" t="s">
        <v>509</v>
      </c>
      <c r="C485" s="84">
        <v>0</v>
      </c>
      <c r="D485" s="81"/>
    </row>
    <row r="486" spans="1:4" ht="15.75" thickBot="1" x14ac:dyDescent="0.3">
      <c r="A486" s="82" t="s">
        <v>1011</v>
      </c>
      <c r="B486" s="83" t="s">
        <v>511</v>
      </c>
      <c r="C486" s="84">
        <v>0</v>
      </c>
      <c r="D486" s="81"/>
    </row>
    <row r="487" spans="1:4" ht="15.75" thickBot="1" x14ac:dyDescent="0.3">
      <c r="A487" s="82" t="s">
        <v>1012</v>
      </c>
      <c r="B487" s="83" t="s">
        <v>296</v>
      </c>
      <c r="C487" s="84">
        <v>0</v>
      </c>
      <c r="D487" s="81"/>
    </row>
    <row r="488" spans="1:4" ht="15.75" thickBot="1" x14ac:dyDescent="0.3">
      <c r="A488" s="82" t="s">
        <v>1013</v>
      </c>
      <c r="B488" s="83" t="s">
        <v>509</v>
      </c>
      <c r="C488" s="86">
        <v>2</v>
      </c>
      <c r="D488" s="81"/>
    </row>
    <row r="489" spans="1:4" ht="15.75" thickBot="1" x14ac:dyDescent="0.3">
      <c r="A489" s="82" t="s">
        <v>1014</v>
      </c>
      <c r="B489" s="83" t="s">
        <v>439</v>
      </c>
      <c r="C489" s="84">
        <v>0</v>
      </c>
      <c r="D489" s="81"/>
    </row>
    <row r="490" spans="1:4" ht="15.75" thickBot="1" x14ac:dyDescent="0.3">
      <c r="A490" s="82" t="s">
        <v>1015</v>
      </c>
      <c r="B490" s="83" t="s">
        <v>296</v>
      </c>
      <c r="C490" s="84">
        <v>0</v>
      </c>
      <c r="D490" s="81"/>
    </row>
    <row r="491" spans="1:4" ht="15.75" thickBot="1" x14ac:dyDescent="0.3">
      <c r="A491" s="82" t="s">
        <v>1016</v>
      </c>
      <c r="B491" s="83" t="s">
        <v>509</v>
      </c>
      <c r="C491" s="84">
        <v>0</v>
      </c>
      <c r="D491" s="81"/>
    </row>
    <row r="492" spans="1:4" ht="15.75" thickBot="1" x14ac:dyDescent="0.3">
      <c r="A492" s="82" t="s">
        <v>1017</v>
      </c>
      <c r="B492" s="83" t="s">
        <v>511</v>
      </c>
      <c r="C492" s="84">
        <v>0</v>
      </c>
      <c r="D492" s="81"/>
    </row>
    <row r="493" spans="1:4" ht="15.75" thickBot="1" x14ac:dyDescent="0.3">
      <c r="A493" s="82" t="s">
        <v>1018</v>
      </c>
      <c r="B493" s="83" t="s">
        <v>439</v>
      </c>
      <c r="C493" s="84">
        <v>0</v>
      </c>
      <c r="D493" s="81"/>
    </row>
    <row r="494" spans="1:4" ht="15.75" thickBot="1" x14ac:dyDescent="0.3">
      <c r="A494" s="82" t="s">
        <v>1019</v>
      </c>
      <c r="B494" s="83" t="s">
        <v>296</v>
      </c>
      <c r="C494" s="84">
        <v>0</v>
      </c>
      <c r="D494" s="81"/>
    </row>
    <row r="495" spans="1:4" ht="15.75" thickBot="1" x14ac:dyDescent="0.3">
      <c r="A495" s="82" t="s">
        <v>1020</v>
      </c>
      <c r="B495" s="83" t="s">
        <v>509</v>
      </c>
      <c r="C495" s="84">
        <v>0</v>
      </c>
      <c r="D495" s="81"/>
    </row>
    <row r="496" spans="1:4" ht="15.75" thickBot="1" x14ac:dyDescent="0.3">
      <c r="A496" s="82" t="s">
        <v>1021</v>
      </c>
      <c r="B496" s="83" t="s">
        <v>296</v>
      </c>
      <c r="C496" s="84">
        <v>0</v>
      </c>
      <c r="D496" s="81"/>
    </row>
    <row r="497" spans="1:4" ht="15.75" thickBot="1" x14ac:dyDescent="0.3">
      <c r="A497" s="82" t="s">
        <v>1022</v>
      </c>
      <c r="B497" s="83" t="s">
        <v>509</v>
      </c>
      <c r="C497" s="84">
        <v>0</v>
      </c>
      <c r="D497" s="81"/>
    </row>
    <row r="498" spans="1:4" ht="15.75" thickBot="1" x14ac:dyDescent="0.3">
      <c r="A498" s="82" t="s">
        <v>1023</v>
      </c>
      <c r="B498" s="83" t="s">
        <v>296</v>
      </c>
      <c r="C498" s="84">
        <v>0</v>
      </c>
      <c r="D498" s="81"/>
    </row>
    <row r="499" spans="1:4" ht="15.75" thickBot="1" x14ac:dyDescent="0.3">
      <c r="A499" s="82" t="s">
        <v>1024</v>
      </c>
      <c r="B499" s="83" t="s">
        <v>296</v>
      </c>
      <c r="C499" s="84">
        <v>0</v>
      </c>
      <c r="D499" s="81"/>
    </row>
    <row r="500" spans="1:4" ht="15.75" thickBot="1" x14ac:dyDescent="0.3">
      <c r="A500" s="82" t="s">
        <v>1025</v>
      </c>
      <c r="B500" s="83" t="s">
        <v>296</v>
      </c>
      <c r="C500" s="84">
        <v>0</v>
      </c>
      <c r="D500" s="81"/>
    </row>
    <row r="501" spans="1:4" ht="15.75" thickBot="1" x14ac:dyDescent="0.3">
      <c r="A501" s="82" t="s">
        <v>1026</v>
      </c>
      <c r="B501" s="83" t="s">
        <v>509</v>
      </c>
      <c r="C501" s="84">
        <v>0</v>
      </c>
      <c r="D501" s="81"/>
    </row>
    <row r="502" spans="1:4" ht="15.75" thickBot="1" x14ac:dyDescent="0.3">
      <c r="A502" s="82" t="s">
        <v>1027</v>
      </c>
      <c r="B502" s="83" t="s">
        <v>296</v>
      </c>
      <c r="C502" s="84">
        <v>0</v>
      </c>
      <c r="D502" s="81"/>
    </row>
    <row r="503" spans="1:4" ht="15.75" thickBot="1" x14ac:dyDescent="0.3">
      <c r="A503" s="82" t="s">
        <v>1028</v>
      </c>
      <c r="B503" s="83" t="s">
        <v>509</v>
      </c>
      <c r="C503" s="84">
        <v>0</v>
      </c>
      <c r="D503" s="81"/>
    </row>
    <row r="504" spans="1:4" ht="15.75" thickBot="1" x14ac:dyDescent="0.3">
      <c r="A504" s="82" t="s">
        <v>1029</v>
      </c>
      <c r="B504" s="83" t="s">
        <v>459</v>
      </c>
      <c r="C504" s="84">
        <v>0</v>
      </c>
      <c r="D504" s="81"/>
    </row>
    <row r="505" spans="1:4" ht="15.75" thickBot="1" x14ac:dyDescent="0.3">
      <c r="A505" s="82" t="s">
        <v>1030</v>
      </c>
      <c r="B505" s="83" t="s">
        <v>494</v>
      </c>
      <c r="C505" s="84">
        <v>0</v>
      </c>
      <c r="D505" s="81"/>
    </row>
    <row r="506" spans="1:4" ht="15.75" thickBot="1" x14ac:dyDescent="0.3">
      <c r="A506" s="82" t="s">
        <v>1031</v>
      </c>
      <c r="B506" s="83" t="s">
        <v>296</v>
      </c>
      <c r="C506" s="84">
        <v>0</v>
      </c>
      <c r="D506" s="81"/>
    </row>
    <row r="507" spans="1:4" ht="15.75" thickBot="1" x14ac:dyDescent="0.3">
      <c r="A507" s="82" t="s">
        <v>1032</v>
      </c>
      <c r="B507" s="83" t="s">
        <v>509</v>
      </c>
      <c r="C507" s="84">
        <v>0</v>
      </c>
      <c r="D507" s="81"/>
    </row>
    <row r="508" spans="1:4" ht="15.75" thickBot="1" x14ac:dyDescent="0.3">
      <c r="A508" s="82" t="s">
        <v>1033</v>
      </c>
      <c r="B508" s="83" t="s">
        <v>511</v>
      </c>
      <c r="C508" s="84">
        <v>0</v>
      </c>
      <c r="D508" s="81"/>
    </row>
    <row r="509" spans="1:4" ht="15.75" thickBot="1" x14ac:dyDescent="0.3">
      <c r="A509" s="82" t="s">
        <v>1034</v>
      </c>
      <c r="B509" s="83" t="s">
        <v>439</v>
      </c>
      <c r="C509" s="84">
        <v>0</v>
      </c>
      <c r="D509" s="81"/>
    </row>
    <row r="510" spans="1:4" ht="15.75" thickBot="1" x14ac:dyDescent="0.3">
      <c r="A510" s="82" t="s">
        <v>1035</v>
      </c>
      <c r="B510" s="83" t="s">
        <v>494</v>
      </c>
      <c r="C510" s="84">
        <v>0</v>
      </c>
      <c r="D510" s="81"/>
    </row>
    <row r="511" spans="1:4" ht="15.75" thickBot="1" x14ac:dyDescent="0.3">
      <c r="A511" s="82" t="s">
        <v>1036</v>
      </c>
      <c r="B511" s="83" t="s">
        <v>544</v>
      </c>
      <c r="C511" s="84">
        <v>0</v>
      </c>
      <c r="D511" s="91" t="s">
        <v>1037</v>
      </c>
    </row>
    <row r="512" spans="1:4" ht="15.75" thickBot="1" x14ac:dyDescent="0.3">
      <c r="A512" s="82" t="s">
        <v>1038</v>
      </c>
      <c r="B512" s="83" t="s">
        <v>542</v>
      </c>
      <c r="C512" s="85">
        <v>82</v>
      </c>
      <c r="D512" s="81"/>
    </row>
    <row r="513" spans="1:4" ht="15.75" thickBot="1" x14ac:dyDescent="0.3">
      <c r="A513" s="82" t="s">
        <v>1039</v>
      </c>
      <c r="B513" s="83" t="s">
        <v>544</v>
      </c>
      <c r="C513" s="84">
        <v>0</v>
      </c>
      <c r="D513" s="81"/>
    </row>
    <row r="514" spans="1:4" ht="27" thickBot="1" x14ac:dyDescent="0.3">
      <c r="A514" s="82" t="s">
        <v>1040</v>
      </c>
      <c r="B514" s="83" t="s">
        <v>596</v>
      </c>
      <c r="C514" s="86">
        <v>5</v>
      </c>
      <c r="D514" s="81" t="s">
        <v>1041</v>
      </c>
    </row>
    <row r="515" spans="1:4" ht="15.75" thickBot="1" x14ac:dyDescent="0.3">
      <c r="A515" s="82" t="s">
        <v>1042</v>
      </c>
      <c r="B515" s="83" t="s">
        <v>596</v>
      </c>
      <c r="C515" s="84">
        <v>0</v>
      </c>
      <c r="D515" s="81"/>
    </row>
    <row r="516" spans="1:4" ht="15.75" thickBot="1" x14ac:dyDescent="0.3">
      <c r="A516" s="82" t="s">
        <v>1043</v>
      </c>
      <c r="B516" s="83" t="s">
        <v>596</v>
      </c>
      <c r="C516" s="84">
        <v>0</v>
      </c>
      <c r="D516" s="81"/>
    </row>
    <row r="517" spans="1:4" ht="27" thickBot="1" x14ac:dyDescent="0.3">
      <c r="A517" s="82" t="s">
        <v>1044</v>
      </c>
      <c r="B517" s="83" t="s">
        <v>296</v>
      </c>
      <c r="C517" s="84">
        <v>0</v>
      </c>
      <c r="D517" s="81" t="s">
        <v>599</v>
      </c>
    </row>
    <row r="518" spans="1:4" ht="15.75" thickBot="1" x14ac:dyDescent="0.3">
      <c r="A518" s="82" t="s">
        <v>1045</v>
      </c>
      <c r="B518" s="83" t="s">
        <v>296</v>
      </c>
      <c r="C518" s="85">
        <v>12</v>
      </c>
      <c r="D518" s="81"/>
    </row>
    <row r="519" spans="1:4" ht="15.75" thickBot="1" x14ac:dyDescent="0.3">
      <c r="A519" s="82" t="s">
        <v>1046</v>
      </c>
      <c r="B519" s="83" t="s">
        <v>296</v>
      </c>
      <c r="C519" s="84">
        <v>0</v>
      </c>
      <c r="D519" s="81"/>
    </row>
    <row r="520" spans="1:4" ht="15.75" thickBot="1" x14ac:dyDescent="0.3">
      <c r="A520" s="82" t="s">
        <v>1047</v>
      </c>
      <c r="B520" s="83" t="s">
        <v>544</v>
      </c>
      <c r="C520" s="84">
        <v>0</v>
      </c>
      <c r="D520" s="81"/>
    </row>
    <row r="521" spans="1:4" ht="15.75" thickBot="1" x14ac:dyDescent="0.3">
      <c r="A521" s="82" t="s">
        <v>1048</v>
      </c>
      <c r="B521" s="83" t="s">
        <v>494</v>
      </c>
      <c r="C521" s="84">
        <v>0</v>
      </c>
      <c r="D521" s="81"/>
    </row>
    <row r="522" spans="1:4" ht="15.75" thickBot="1" x14ac:dyDescent="0.3">
      <c r="A522" s="82" t="s">
        <v>1049</v>
      </c>
      <c r="B522" s="83" t="s">
        <v>494</v>
      </c>
      <c r="C522" s="84">
        <v>0</v>
      </c>
      <c r="D522" s="81"/>
    </row>
    <row r="523" spans="1:4" ht="15.75" thickBot="1" x14ac:dyDescent="0.3">
      <c r="A523" s="82" t="s">
        <v>1050</v>
      </c>
      <c r="B523" s="83" t="s">
        <v>494</v>
      </c>
      <c r="C523" s="84">
        <v>0</v>
      </c>
      <c r="D523" s="81"/>
    </row>
    <row r="524" spans="1:4" ht="15.75" thickBot="1" x14ac:dyDescent="0.3">
      <c r="A524" s="82" t="s">
        <v>1051</v>
      </c>
      <c r="B524" s="83" t="s">
        <v>494</v>
      </c>
      <c r="C524" s="84">
        <v>0</v>
      </c>
      <c r="D524" s="81"/>
    </row>
    <row r="525" spans="1:4" ht="15.75" thickBot="1" x14ac:dyDescent="0.3">
      <c r="A525" s="82" t="s">
        <v>1052</v>
      </c>
      <c r="B525" s="83" t="s">
        <v>1053</v>
      </c>
      <c r="C525" s="84">
        <v>0</v>
      </c>
      <c r="D525" s="81"/>
    </row>
    <row r="526" spans="1:4" ht="15.75" thickBot="1" x14ac:dyDescent="0.3">
      <c r="A526" s="82" t="s">
        <v>1054</v>
      </c>
      <c r="B526" s="83" t="s">
        <v>596</v>
      </c>
      <c r="C526" s="85">
        <v>8</v>
      </c>
      <c r="D526" s="81"/>
    </row>
    <row r="527" spans="1:4" ht="15.75" thickBot="1" x14ac:dyDescent="0.3">
      <c r="A527" s="82" t="s">
        <v>1055</v>
      </c>
      <c r="B527" s="83" t="s">
        <v>596</v>
      </c>
      <c r="C527" s="84">
        <v>0</v>
      </c>
      <c r="D527" s="81"/>
    </row>
    <row r="528" spans="1:4" ht="15.75" thickBot="1" x14ac:dyDescent="0.3">
      <c r="A528" s="82" t="s">
        <v>1056</v>
      </c>
      <c r="B528" s="83" t="s">
        <v>596</v>
      </c>
      <c r="C528" s="84">
        <v>0</v>
      </c>
      <c r="D528" s="81"/>
    </row>
    <row r="529" spans="1:4" ht="15.75" thickBot="1" x14ac:dyDescent="0.3">
      <c r="A529" s="82" t="s">
        <v>1057</v>
      </c>
      <c r="B529" s="83" t="s">
        <v>296</v>
      </c>
      <c r="C529" s="84">
        <v>0</v>
      </c>
      <c r="D529" s="81"/>
    </row>
    <row r="530" spans="1:4" ht="15.75" thickBot="1" x14ac:dyDescent="0.3">
      <c r="A530" s="82" t="s">
        <v>1058</v>
      </c>
      <c r="B530" s="83" t="s">
        <v>296</v>
      </c>
      <c r="C530" s="84">
        <v>0</v>
      </c>
      <c r="D530" s="81"/>
    </row>
    <row r="531" spans="1:4" ht="15.75" thickBot="1" x14ac:dyDescent="0.3">
      <c r="A531" s="82" t="s">
        <v>1059</v>
      </c>
      <c r="B531" s="83" t="s">
        <v>296</v>
      </c>
      <c r="C531" s="84">
        <v>0</v>
      </c>
      <c r="D531" s="81"/>
    </row>
    <row r="532" spans="1:4" ht="15.75" thickBot="1" x14ac:dyDescent="0.3">
      <c r="A532" s="82" t="s">
        <v>1060</v>
      </c>
      <c r="B532" s="83" t="s">
        <v>509</v>
      </c>
      <c r="C532" s="86">
        <v>3</v>
      </c>
      <c r="D532" s="81"/>
    </row>
    <row r="533" spans="1:4" ht="15.75" thickBot="1" x14ac:dyDescent="0.3">
      <c r="A533" s="82" t="s">
        <v>1061</v>
      </c>
      <c r="B533" s="83" t="s">
        <v>509</v>
      </c>
      <c r="C533" s="84">
        <v>0</v>
      </c>
      <c r="D533" s="81"/>
    </row>
    <row r="534" spans="1:4" ht="15.75" thickBot="1" x14ac:dyDescent="0.3">
      <c r="A534" s="82" t="s">
        <v>1062</v>
      </c>
      <c r="B534" s="83" t="s">
        <v>509</v>
      </c>
      <c r="C534" s="84">
        <v>0</v>
      </c>
      <c r="D534" s="81"/>
    </row>
    <row r="535" spans="1:4" ht="15.75" thickBot="1" x14ac:dyDescent="0.3">
      <c r="A535" s="82" t="s">
        <v>1063</v>
      </c>
      <c r="B535" s="83" t="s">
        <v>439</v>
      </c>
      <c r="C535" s="84">
        <v>0</v>
      </c>
      <c r="D535" s="81"/>
    </row>
    <row r="536" spans="1:4" ht="15.75" thickBot="1" x14ac:dyDescent="0.3">
      <c r="A536" s="82" t="s">
        <v>1064</v>
      </c>
      <c r="B536" s="83" t="s">
        <v>439</v>
      </c>
      <c r="C536" s="84">
        <v>0</v>
      </c>
      <c r="D536" s="81"/>
    </row>
    <row r="537" spans="1:4" ht="15.75" thickBot="1" x14ac:dyDescent="0.3">
      <c r="A537" s="82" t="s">
        <v>1065</v>
      </c>
      <c r="B537" s="83" t="s">
        <v>439</v>
      </c>
      <c r="C537" s="84">
        <v>0</v>
      </c>
      <c r="D537" s="81"/>
    </row>
    <row r="538" spans="1:4" ht="15.75" thickBot="1" x14ac:dyDescent="0.3">
      <c r="A538" s="82" t="s">
        <v>1066</v>
      </c>
      <c r="B538" s="83" t="s">
        <v>544</v>
      </c>
      <c r="C538" s="85">
        <v>15</v>
      </c>
      <c r="D538" s="81"/>
    </row>
    <row r="539" spans="1:4" ht="15.75" thickBot="1" x14ac:dyDescent="0.3">
      <c r="A539" s="82" t="s">
        <v>1067</v>
      </c>
      <c r="B539" s="83" t="s">
        <v>544</v>
      </c>
      <c r="C539" s="84">
        <v>0</v>
      </c>
      <c r="D539" s="81"/>
    </row>
    <row r="540" spans="1:4" ht="15.75" thickBot="1" x14ac:dyDescent="0.3">
      <c r="A540" s="82" t="s">
        <v>1068</v>
      </c>
      <c r="B540" s="83" t="s">
        <v>544</v>
      </c>
      <c r="C540" s="85">
        <v>47</v>
      </c>
      <c r="D540" s="81"/>
    </row>
    <row r="541" spans="1:4" ht="15.75" thickBot="1" x14ac:dyDescent="0.3">
      <c r="A541" s="82" t="s">
        <v>1069</v>
      </c>
      <c r="B541" s="83" t="s">
        <v>544</v>
      </c>
      <c r="C541" s="84">
        <v>0</v>
      </c>
      <c r="D541" s="81"/>
    </row>
    <row r="542" spans="1:4" ht="15.75" thickBot="1" x14ac:dyDescent="0.3">
      <c r="A542" s="82" t="s">
        <v>1070</v>
      </c>
      <c r="B542" s="83" t="s">
        <v>296</v>
      </c>
      <c r="C542" s="84">
        <v>0</v>
      </c>
      <c r="D542" s="81"/>
    </row>
    <row r="543" spans="1:4" ht="15.75" thickBot="1" x14ac:dyDescent="0.3">
      <c r="A543" s="82" t="s">
        <v>1071</v>
      </c>
      <c r="B543" s="83" t="s">
        <v>509</v>
      </c>
      <c r="C543" s="84">
        <v>0</v>
      </c>
      <c r="D543" s="81"/>
    </row>
    <row r="544" spans="1:4" ht="15.75" thickBot="1" x14ac:dyDescent="0.3">
      <c r="A544" s="82" t="s">
        <v>1072</v>
      </c>
      <c r="B544" s="83" t="s">
        <v>296</v>
      </c>
      <c r="C544" s="84">
        <v>0</v>
      </c>
      <c r="D544" s="81"/>
    </row>
    <row r="545" spans="1:4" ht="15.75" thickBot="1" x14ac:dyDescent="0.3">
      <c r="A545" s="82" t="s">
        <v>1073</v>
      </c>
      <c r="B545" s="83" t="s">
        <v>509</v>
      </c>
      <c r="C545" s="84">
        <v>0</v>
      </c>
      <c r="D545" s="81"/>
    </row>
    <row r="546" spans="1:4" ht="15.75" thickBot="1" x14ac:dyDescent="0.3">
      <c r="A546" s="82" t="s">
        <v>1074</v>
      </c>
      <c r="B546" s="83" t="s">
        <v>511</v>
      </c>
      <c r="C546" s="84">
        <v>0</v>
      </c>
      <c r="D546" s="81"/>
    </row>
    <row r="547" spans="1:4" ht="15.75" thickBot="1" x14ac:dyDescent="0.3">
      <c r="A547" s="82" t="s">
        <v>1075</v>
      </c>
      <c r="B547" s="83" t="s">
        <v>439</v>
      </c>
      <c r="C547" s="84">
        <v>0</v>
      </c>
      <c r="D547" s="81"/>
    </row>
    <row r="548" spans="1:4" ht="15.75" thickBot="1" x14ac:dyDescent="0.3">
      <c r="A548" s="82" t="s">
        <v>1076</v>
      </c>
      <c r="B548" s="83" t="s">
        <v>296</v>
      </c>
      <c r="C548" s="84">
        <v>0</v>
      </c>
      <c r="D548" s="81"/>
    </row>
    <row r="549" spans="1:4" ht="15.75" thickBot="1" x14ac:dyDescent="0.3">
      <c r="A549" s="82" t="s">
        <v>1077</v>
      </c>
      <c r="B549" s="83" t="s">
        <v>509</v>
      </c>
      <c r="C549" s="84">
        <v>0</v>
      </c>
      <c r="D549" s="81"/>
    </row>
    <row r="550" spans="1:4" ht="15.75" thickBot="1" x14ac:dyDescent="0.3">
      <c r="A550" s="82" t="s">
        <v>1078</v>
      </c>
      <c r="B550" s="83" t="s">
        <v>296</v>
      </c>
      <c r="C550" s="84">
        <v>0</v>
      </c>
      <c r="D550" s="81"/>
    </row>
    <row r="551" spans="1:4" ht="15.75" thickBot="1" x14ac:dyDescent="0.3">
      <c r="A551" s="82" t="s">
        <v>1079</v>
      </c>
      <c r="B551" s="83" t="s">
        <v>296</v>
      </c>
      <c r="C551" s="84">
        <v>0</v>
      </c>
      <c r="D551" s="81"/>
    </row>
    <row r="552" spans="1:4" ht="15.75" thickBot="1" x14ac:dyDescent="0.3">
      <c r="A552" s="82" t="s">
        <v>1080</v>
      </c>
      <c r="B552" s="83" t="s">
        <v>296</v>
      </c>
      <c r="C552" s="85">
        <v>12</v>
      </c>
      <c r="D552" s="81"/>
    </row>
    <row r="553" spans="1:4" ht="15.75" thickBot="1" x14ac:dyDescent="0.3">
      <c r="A553" s="82" t="s">
        <v>1081</v>
      </c>
      <c r="B553" s="83" t="s">
        <v>296</v>
      </c>
      <c r="C553" s="84">
        <v>0</v>
      </c>
      <c r="D553" s="81"/>
    </row>
    <row r="554" spans="1:4" ht="15.75" thickBot="1" x14ac:dyDescent="0.3">
      <c r="A554" s="82" t="s">
        <v>1082</v>
      </c>
      <c r="B554" s="83" t="s">
        <v>296</v>
      </c>
      <c r="C554" s="84">
        <v>0</v>
      </c>
      <c r="D554" s="81"/>
    </row>
    <row r="555" spans="1:4" ht="15.75" thickBot="1" x14ac:dyDescent="0.3">
      <c r="A555" s="82" t="s">
        <v>1083</v>
      </c>
      <c r="B555" s="83" t="s">
        <v>920</v>
      </c>
      <c r="C555" s="84">
        <v>0</v>
      </c>
      <c r="D555" s="81"/>
    </row>
    <row r="556" spans="1:4" ht="15.75" thickBot="1" x14ac:dyDescent="0.3">
      <c r="A556" s="82" t="s">
        <v>1084</v>
      </c>
      <c r="B556" s="83" t="s">
        <v>916</v>
      </c>
      <c r="C556" s="84">
        <v>0</v>
      </c>
      <c r="D556" s="81"/>
    </row>
    <row r="557" spans="1:4" ht="15.75" thickBot="1" x14ac:dyDescent="0.3">
      <c r="A557" s="82" t="s">
        <v>1085</v>
      </c>
      <c r="B557" s="83" t="s">
        <v>296</v>
      </c>
      <c r="C557" s="84">
        <v>0</v>
      </c>
      <c r="D557" s="81"/>
    </row>
    <row r="558" spans="1:4" ht="15.75" thickBot="1" x14ac:dyDescent="0.3">
      <c r="A558" s="82" t="s">
        <v>1086</v>
      </c>
      <c r="B558" s="83" t="s">
        <v>296</v>
      </c>
      <c r="C558" s="84">
        <v>0</v>
      </c>
      <c r="D558" s="81"/>
    </row>
    <row r="559" spans="1:4" ht="15.75" thickBot="1" x14ac:dyDescent="0.3">
      <c r="A559" s="82" t="s">
        <v>1087</v>
      </c>
      <c r="B559" s="83" t="s">
        <v>920</v>
      </c>
      <c r="C559" s="84">
        <v>0</v>
      </c>
      <c r="D559" s="81"/>
    </row>
    <row r="560" spans="1:4" ht="15.75" thickBot="1" x14ac:dyDescent="0.3">
      <c r="A560" s="82" t="s">
        <v>1088</v>
      </c>
      <c r="B560" s="83" t="s">
        <v>439</v>
      </c>
      <c r="C560" s="84">
        <v>0</v>
      </c>
      <c r="D560" s="81"/>
    </row>
    <row r="561" spans="1:4" ht="15.75" thickBot="1" x14ac:dyDescent="0.3">
      <c r="A561" s="82" t="s">
        <v>1089</v>
      </c>
      <c r="B561" s="83" t="s">
        <v>916</v>
      </c>
      <c r="C561" s="84">
        <v>0</v>
      </c>
      <c r="D561" s="81"/>
    </row>
    <row r="562" spans="1:4" ht="15.75" thickBot="1" x14ac:dyDescent="0.3">
      <c r="A562" s="82" t="s">
        <v>1090</v>
      </c>
      <c r="B562" s="83" t="s">
        <v>296</v>
      </c>
      <c r="C562" s="84">
        <v>0</v>
      </c>
      <c r="D562" s="81"/>
    </row>
    <row r="563" spans="1:4" ht="15.75" thickBot="1" x14ac:dyDescent="0.3">
      <c r="A563" s="82" t="s">
        <v>1091</v>
      </c>
      <c r="B563" s="83" t="s">
        <v>296</v>
      </c>
      <c r="C563" s="84">
        <v>0</v>
      </c>
      <c r="D563" s="81"/>
    </row>
    <row r="564" spans="1:4" ht="15.75" thickBot="1" x14ac:dyDescent="0.3">
      <c r="A564" s="82" t="s">
        <v>1092</v>
      </c>
      <c r="B564" s="83" t="s">
        <v>596</v>
      </c>
      <c r="C564" s="84">
        <v>0</v>
      </c>
      <c r="D564" s="81"/>
    </row>
    <row r="565" spans="1:4" ht="15.75" thickBot="1" x14ac:dyDescent="0.3">
      <c r="A565" s="82" t="s">
        <v>1093</v>
      </c>
      <c r="B565" s="83" t="s">
        <v>544</v>
      </c>
      <c r="C565" s="84">
        <v>0</v>
      </c>
      <c r="D565" s="81"/>
    </row>
    <row r="566" spans="1:4" ht="15.75" thickBot="1" x14ac:dyDescent="0.3">
      <c r="A566" s="82" t="s">
        <v>1094</v>
      </c>
      <c r="B566" s="83" t="s">
        <v>546</v>
      </c>
      <c r="C566" s="85">
        <v>10</v>
      </c>
      <c r="D566" s="81"/>
    </row>
    <row r="567" spans="1:4" ht="15.75" thickBot="1" x14ac:dyDescent="0.3">
      <c r="A567" s="82" t="s">
        <v>1095</v>
      </c>
      <c r="B567" s="83" t="s">
        <v>596</v>
      </c>
      <c r="C567" s="85">
        <v>6</v>
      </c>
      <c r="D567" s="81"/>
    </row>
    <row r="568" spans="1:4" ht="15.75" thickBot="1" x14ac:dyDescent="0.3">
      <c r="A568" s="82" t="s">
        <v>1096</v>
      </c>
      <c r="B568" s="83" t="s">
        <v>459</v>
      </c>
      <c r="C568" s="84">
        <v>0</v>
      </c>
      <c r="D568" s="81"/>
    </row>
    <row r="569" spans="1:4" ht="15.75" thickBot="1" x14ac:dyDescent="0.3">
      <c r="A569" s="82" t="s">
        <v>1097</v>
      </c>
      <c r="B569" s="83" t="s">
        <v>544</v>
      </c>
      <c r="C569" s="84">
        <v>0</v>
      </c>
      <c r="D569" s="81"/>
    </row>
    <row r="570" spans="1:4" ht="15.75" thickBot="1" x14ac:dyDescent="0.3">
      <c r="A570" s="82" t="s">
        <v>1098</v>
      </c>
      <c r="B570" s="83" t="s">
        <v>544</v>
      </c>
      <c r="C570" s="84">
        <v>0</v>
      </c>
      <c r="D570" s="81"/>
    </row>
    <row r="571" spans="1:4" ht="15.75" thickBot="1" x14ac:dyDescent="0.3">
      <c r="A571" s="82" t="s">
        <v>1099</v>
      </c>
      <c r="B571" s="83" t="s">
        <v>494</v>
      </c>
      <c r="C571" s="84">
        <v>0</v>
      </c>
      <c r="D571" s="81"/>
    </row>
    <row r="572" spans="1:4" ht="15.75" thickBot="1" x14ac:dyDescent="0.3">
      <c r="A572" s="82" t="s">
        <v>1100</v>
      </c>
      <c r="B572" s="83" t="s">
        <v>296</v>
      </c>
      <c r="C572" s="84">
        <v>0</v>
      </c>
      <c r="D572" s="81"/>
    </row>
    <row r="573" spans="1:4" ht="15.75" thickBot="1" x14ac:dyDescent="0.3">
      <c r="A573" s="82" t="s">
        <v>1101</v>
      </c>
      <c r="B573" s="83" t="s">
        <v>296</v>
      </c>
      <c r="C573" s="84">
        <v>0</v>
      </c>
      <c r="D573" s="81"/>
    </row>
    <row r="574" spans="1:4" ht="15.75" thickBot="1" x14ac:dyDescent="0.3">
      <c r="A574" s="82" t="s">
        <v>1102</v>
      </c>
      <c r="B574" s="83" t="s">
        <v>296</v>
      </c>
      <c r="C574" s="84">
        <v>0</v>
      </c>
      <c r="D574" s="81"/>
    </row>
    <row r="575" spans="1:4" ht="15.75" thickBot="1" x14ac:dyDescent="0.3">
      <c r="A575" s="82" t="s">
        <v>1103</v>
      </c>
      <c r="B575" s="83" t="s">
        <v>296</v>
      </c>
      <c r="C575" s="84">
        <v>0</v>
      </c>
      <c r="D575" s="81"/>
    </row>
    <row r="576" spans="1:4" ht="15.75" thickBot="1" x14ac:dyDescent="0.3">
      <c r="A576" s="82" t="s">
        <v>1104</v>
      </c>
      <c r="B576" s="83" t="s">
        <v>296</v>
      </c>
      <c r="C576" s="84">
        <v>0</v>
      </c>
      <c r="D576" s="81"/>
    </row>
    <row r="577" spans="1:4" ht="15.75" thickBot="1" x14ac:dyDescent="0.3">
      <c r="A577" s="82" t="s">
        <v>1105</v>
      </c>
      <c r="B577" s="83" t="s">
        <v>296</v>
      </c>
      <c r="C577" s="84">
        <v>0</v>
      </c>
      <c r="D577" s="81"/>
    </row>
    <row r="578" spans="1:4" ht="15.75" thickBot="1" x14ac:dyDescent="0.3">
      <c r="A578" s="82" t="s">
        <v>1106</v>
      </c>
      <c r="B578" s="83" t="s">
        <v>494</v>
      </c>
      <c r="C578" s="84">
        <v>0</v>
      </c>
      <c r="D578" s="81"/>
    </row>
    <row r="579" spans="1:4" ht="15.75" thickBot="1" x14ac:dyDescent="0.3">
      <c r="A579" s="82" t="s">
        <v>1107</v>
      </c>
      <c r="B579" s="83" t="s">
        <v>677</v>
      </c>
      <c r="C579" s="85">
        <v>16</v>
      </c>
      <c r="D579" s="81"/>
    </row>
    <row r="580" spans="1:4" ht="15.75" thickBot="1" x14ac:dyDescent="0.3">
      <c r="A580" s="82" t="s">
        <v>1108</v>
      </c>
      <c r="B580" s="83" t="s">
        <v>459</v>
      </c>
      <c r="C580" s="84">
        <v>0</v>
      </c>
      <c r="D580" s="81"/>
    </row>
    <row r="581" spans="1:4" ht="15.75" thickBot="1" x14ac:dyDescent="0.3">
      <c r="A581" s="82" t="s">
        <v>192</v>
      </c>
      <c r="B581" s="83" t="s">
        <v>544</v>
      </c>
      <c r="C581" s="84">
        <v>0</v>
      </c>
      <c r="D581" s="81"/>
    </row>
    <row r="582" spans="1:4" ht="15.75" thickBot="1" x14ac:dyDescent="0.3">
      <c r="A582" s="82" t="s">
        <v>1109</v>
      </c>
      <c r="B582" s="83" t="s">
        <v>544</v>
      </c>
      <c r="C582" s="84">
        <v>0</v>
      </c>
      <c r="D582" s="81"/>
    </row>
    <row r="583" spans="1:4" ht="15.75" thickBot="1" x14ac:dyDescent="0.3">
      <c r="A583" s="82" t="s">
        <v>1110</v>
      </c>
      <c r="B583" s="83" t="s">
        <v>544</v>
      </c>
      <c r="C583" s="84">
        <v>0</v>
      </c>
      <c r="D583" s="81"/>
    </row>
    <row r="584" spans="1:4" ht="15.75" thickBot="1" x14ac:dyDescent="0.3">
      <c r="A584" s="82" t="s">
        <v>1111</v>
      </c>
      <c r="B584" s="83" t="s">
        <v>544</v>
      </c>
      <c r="C584" s="84">
        <v>0</v>
      </c>
      <c r="D584" s="81"/>
    </row>
    <row r="585" spans="1:4" ht="15.75" thickBot="1" x14ac:dyDescent="0.3">
      <c r="A585" s="82" t="s">
        <v>1112</v>
      </c>
      <c r="B585" s="83" t="s">
        <v>544</v>
      </c>
      <c r="C585" s="84">
        <v>0</v>
      </c>
      <c r="D585" s="81"/>
    </row>
    <row r="586" spans="1:4" ht="15.75" thickBot="1" x14ac:dyDescent="0.3">
      <c r="A586" s="82" t="s">
        <v>1113</v>
      </c>
      <c r="B586" s="83" t="s">
        <v>544</v>
      </c>
      <c r="C586" s="84">
        <v>0</v>
      </c>
      <c r="D586" s="81"/>
    </row>
    <row r="587" spans="1:4" ht="15.75" thickBot="1" x14ac:dyDescent="0.3">
      <c r="A587" s="82" t="s">
        <v>1114</v>
      </c>
      <c r="B587" s="83" t="s">
        <v>544</v>
      </c>
      <c r="C587" s="84">
        <v>0</v>
      </c>
      <c r="D587" s="81"/>
    </row>
    <row r="588" spans="1:4" ht="15.75" thickBot="1" x14ac:dyDescent="0.3">
      <c r="A588" s="82" t="s">
        <v>1115</v>
      </c>
      <c r="B588" s="83" t="s">
        <v>544</v>
      </c>
      <c r="C588" s="84">
        <v>0</v>
      </c>
      <c r="D588" s="81"/>
    </row>
    <row r="589" spans="1:4" ht="15.75" thickBot="1" x14ac:dyDescent="0.3">
      <c r="A589" s="82" t="s">
        <v>1116</v>
      </c>
      <c r="B589" s="83" t="s">
        <v>544</v>
      </c>
      <c r="C589" s="84">
        <v>0</v>
      </c>
      <c r="D589" s="81"/>
    </row>
    <row r="590" spans="1:4" ht="15.75" thickBot="1" x14ac:dyDescent="0.3">
      <c r="A590" s="82" t="s">
        <v>1117</v>
      </c>
      <c r="B590" s="83" t="s">
        <v>544</v>
      </c>
      <c r="C590" s="84">
        <v>0</v>
      </c>
      <c r="D590" s="81"/>
    </row>
    <row r="591" spans="1:4" ht="15.75" thickBot="1" x14ac:dyDescent="0.3">
      <c r="A591" s="82" t="s">
        <v>1118</v>
      </c>
      <c r="B591" s="83" t="s">
        <v>544</v>
      </c>
      <c r="C591" s="84">
        <v>0</v>
      </c>
      <c r="D591" s="81"/>
    </row>
    <row r="592" spans="1:4" ht="15.75" thickBot="1" x14ac:dyDescent="0.3">
      <c r="A592" s="82" t="s">
        <v>1119</v>
      </c>
      <c r="B592" s="83" t="s">
        <v>544</v>
      </c>
      <c r="C592" s="84">
        <v>0</v>
      </c>
      <c r="D592" s="81"/>
    </row>
    <row r="593" spans="1:4" ht="15.75" thickBot="1" x14ac:dyDescent="0.3">
      <c r="A593" s="82" t="s">
        <v>1120</v>
      </c>
      <c r="B593" s="83" t="s">
        <v>544</v>
      </c>
      <c r="C593" s="84">
        <v>0</v>
      </c>
      <c r="D593" s="81"/>
    </row>
    <row r="594" spans="1:4" ht="15.75" thickBot="1" x14ac:dyDescent="0.3">
      <c r="A594" s="82" t="s">
        <v>1121</v>
      </c>
      <c r="B594" s="83" t="s">
        <v>544</v>
      </c>
      <c r="C594" s="84">
        <v>0</v>
      </c>
      <c r="D594" s="81"/>
    </row>
    <row r="595" spans="1:4" ht="15.75" thickBot="1" x14ac:dyDescent="0.3">
      <c r="A595" s="82" t="s">
        <v>1122</v>
      </c>
      <c r="B595" s="83" t="s">
        <v>544</v>
      </c>
      <c r="C595" s="84">
        <v>0</v>
      </c>
      <c r="D595" s="81"/>
    </row>
    <row r="596" spans="1:4" ht="15.75" thickBot="1" x14ac:dyDescent="0.3">
      <c r="A596" s="82" t="s">
        <v>1123</v>
      </c>
      <c r="B596" s="83" t="s">
        <v>544</v>
      </c>
      <c r="C596" s="84">
        <v>0</v>
      </c>
      <c r="D596" s="81"/>
    </row>
    <row r="597" spans="1:4" ht="15.75" thickBot="1" x14ac:dyDescent="0.3">
      <c r="A597" s="82" t="s">
        <v>1124</v>
      </c>
      <c r="B597" s="83" t="s">
        <v>544</v>
      </c>
      <c r="C597" s="84">
        <v>0</v>
      </c>
      <c r="D597" s="81"/>
    </row>
    <row r="598" spans="1:4" ht="15.75" thickBot="1" x14ac:dyDescent="0.3">
      <c r="A598" s="82" t="s">
        <v>1125</v>
      </c>
      <c r="B598" s="83" t="s">
        <v>544</v>
      </c>
      <c r="C598" s="84">
        <v>0</v>
      </c>
      <c r="D598" s="81"/>
    </row>
    <row r="599" spans="1:4" ht="15.75" thickBot="1" x14ac:dyDescent="0.3">
      <c r="A599" s="82" t="s">
        <v>1126</v>
      </c>
      <c r="B599" s="83" t="s">
        <v>544</v>
      </c>
      <c r="C599" s="85">
        <v>160</v>
      </c>
      <c r="D599" s="81"/>
    </row>
    <row r="600" spans="1:4" ht="15.75" thickBot="1" x14ac:dyDescent="0.3">
      <c r="A600" s="82" t="s">
        <v>1127</v>
      </c>
      <c r="B600" s="83" t="s">
        <v>544</v>
      </c>
      <c r="C600" s="85">
        <v>90</v>
      </c>
      <c r="D600" s="81"/>
    </row>
    <row r="601" spans="1:4" ht="15.75" thickBot="1" x14ac:dyDescent="0.3">
      <c r="A601" s="82" t="s">
        <v>1128</v>
      </c>
      <c r="B601" s="83" t="s">
        <v>544</v>
      </c>
      <c r="C601" s="85">
        <v>69</v>
      </c>
      <c r="D601" s="81"/>
    </row>
    <row r="602" spans="1:4" ht="15.75" thickBot="1" x14ac:dyDescent="0.3">
      <c r="A602" s="82" t="s">
        <v>1129</v>
      </c>
      <c r="B602" s="83" t="s">
        <v>544</v>
      </c>
      <c r="C602" s="85">
        <v>69</v>
      </c>
      <c r="D602" s="81"/>
    </row>
    <row r="603" spans="1:4" ht="15.75" thickBot="1" x14ac:dyDescent="0.3">
      <c r="A603" s="82" t="s">
        <v>1130</v>
      </c>
      <c r="B603" s="83" t="s">
        <v>544</v>
      </c>
      <c r="C603" s="84">
        <v>0</v>
      </c>
      <c r="D603" s="81"/>
    </row>
    <row r="604" spans="1:4" ht="15.75" thickBot="1" x14ac:dyDescent="0.3">
      <c r="A604" s="82" t="s">
        <v>1131</v>
      </c>
      <c r="B604" s="83" t="s">
        <v>544</v>
      </c>
      <c r="C604" s="84">
        <v>0</v>
      </c>
      <c r="D604" s="81"/>
    </row>
    <row r="605" spans="1:4" ht="15.75" thickBot="1" x14ac:dyDescent="0.3">
      <c r="A605" s="82" t="s">
        <v>1132</v>
      </c>
      <c r="B605" s="83" t="s">
        <v>544</v>
      </c>
      <c r="C605" s="84">
        <v>0</v>
      </c>
      <c r="D605" s="81"/>
    </row>
    <row r="606" spans="1:4" ht="15.75" thickBot="1" x14ac:dyDescent="0.3">
      <c r="A606" s="82" t="s">
        <v>1133</v>
      </c>
      <c r="B606" s="83" t="s">
        <v>544</v>
      </c>
      <c r="C606" s="84">
        <v>0</v>
      </c>
      <c r="D606" s="81"/>
    </row>
    <row r="607" spans="1:4" ht="15.75" thickBot="1" x14ac:dyDescent="0.3">
      <c r="A607" s="82" t="s">
        <v>1134</v>
      </c>
      <c r="B607" s="83" t="s">
        <v>544</v>
      </c>
      <c r="C607" s="84">
        <v>0</v>
      </c>
      <c r="D607" s="81"/>
    </row>
    <row r="608" spans="1:4" ht="15.75" thickBot="1" x14ac:dyDescent="0.3">
      <c r="A608" s="82" t="s">
        <v>1135</v>
      </c>
      <c r="B608" s="83" t="s">
        <v>544</v>
      </c>
      <c r="C608" s="84">
        <v>0</v>
      </c>
      <c r="D608" s="81"/>
    </row>
    <row r="609" spans="1:4" ht="15.75" thickBot="1" x14ac:dyDescent="0.3">
      <c r="A609" s="82" t="s">
        <v>1136</v>
      </c>
      <c r="B609" s="83" t="s">
        <v>544</v>
      </c>
      <c r="C609" s="84">
        <v>0</v>
      </c>
      <c r="D609" s="81"/>
    </row>
    <row r="610" spans="1:4" ht="15.75" thickBot="1" x14ac:dyDescent="0.3">
      <c r="A610" s="82" t="s">
        <v>1137</v>
      </c>
      <c r="B610" s="83" t="s">
        <v>544</v>
      </c>
      <c r="C610" s="84">
        <v>0</v>
      </c>
      <c r="D610" s="81"/>
    </row>
    <row r="611" spans="1:4" ht="15.75" thickBot="1" x14ac:dyDescent="0.3">
      <c r="A611" s="82" t="s">
        <v>1138</v>
      </c>
      <c r="B611" s="83" t="s">
        <v>544</v>
      </c>
      <c r="C611" s="84">
        <v>0</v>
      </c>
      <c r="D611" s="81"/>
    </row>
    <row r="612" spans="1:4" ht="15.75" thickBot="1" x14ac:dyDescent="0.3">
      <c r="A612" s="82" t="s">
        <v>1139</v>
      </c>
      <c r="B612" s="83" t="s">
        <v>544</v>
      </c>
      <c r="C612" s="84">
        <v>0</v>
      </c>
      <c r="D612" s="91" t="s">
        <v>1140</v>
      </c>
    </row>
    <row r="613" spans="1:4" ht="15.75" thickBot="1" x14ac:dyDescent="0.3">
      <c r="A613" s="82" t="s">
        <v>1141</v>
      </c>
      <c r="B613" s="83" t="s">
        <v>296</v>
      </c>
      <c r="C613" s="86">
        <v>4</v>
      </c>
      <c r="D613" s="81" t="s">
        <v>1142</v>
      </c>
    </row>
    <row r="614" spans="1:4" ht="15.75" thickBot="1" x14ac:dyDescent="0.3">
      <c r="A614" s="82" t="s">
        <v>1143</v>
      </c>
      <c r="B614" s="83" t="s">
        <v>544</v>
      </c>
      <c r="C614" s="84">
        <v>0</v>
      </c>
      <c r="D614" s="91" t="s">
        <v>1144</v>
      </c>
    </row>
    <row r="615" spans="1:4" ht="15.75" thickBot="1" x14ac:dyDescent="0.3">
      <c r="A615" s="82" t="s">
        <v>1145</v>
      </c>
      <c r="B615" s="83" t="s">
        <v>544</v>
      </c>
      <c r="C615" s="84">
        <v>0</v>
      </c>
      <c r="D615" s="81"/>
    </row>
    <row r="616" spans="1:4" ht="15.75" thickBot="1" x14ac:dyDescent="0.3">
      <c r="A616" s="82" t="s">
        <v>1146</v>
      </c>
      <c r="B616" s="83" t="s">
        <v>544</v>
      </c>
      <c r="C616" s="84">
        <v>0</v>
      </c>
      <c r="D616" s="81"/>
    </row>
    <row r="617" spans="1:4" ht="15.75" thickBot="1" x14ac:dyDescent="0.3">
      <c r="A617" s="82" t="s">
        <v>1147</v>
      </c>
      <c r="B617" s="83" t="s">
        <v>544</v>
      </c>
      <c r="C617" s="84">
        <v>0</v>
      </c>
      <c r="D617" s="91" t="s">
        <v>1148</v>
      </c>
    </row>
    <row r="618" spans="1:4" ht="15.75" thickBot="1" x14ac:dyDescent="0.3">
      <c r="A618" s="82" t="s">
        <v>1149</v>
      </c>
      <c r="B618" s="83" t="s">
        <v>544</v>
      </c>
      <c r="C618" s="85">
        <v>39</v>
      </c>
      <c r="D618" s="81" t="s">
        <v>1150</v>
      </c>
    </row>
    <row r="619" spans="1:4" ht="15.75" thickBot="1" x14ac:dyDescent="0.3">
      <c r="A619" s="82" t="s">
        <v>247</v>
      </c>
      <c r="B619" s="83" t="s">
        <v>459</v>
      </c>
      <c r="C619" s="85">
        <v>9.5</v>
      </c>
      <c r="D619" s="81" t="s">
        <v>1151</v>
      </c>
    </row>
    <row r="620" spans="1:4" ht="15.75" thickBot="1" x14ac:dyDescent="0.3">
      <c r="A620" s="82" t="s">
        <v>1152</v>
      </c>
      <c r="B620" s="83" t="s">
        <v>1153</v>
      </c>
      <c r="C620" s="84">
        <v>0</v>
      </c>
      <c r="D620" s="81"/>
    </row>
    <row r="621" spans="1:4" ht="15.75" thickBot="1" x14ac:dyDescent="0.3">
      <c r="A621" s="82" t="s">
        <v>1154</v>
      </c>
      <c r="B621" s="83" t="s">
        <v>544</v>
      </c>
      <c r="C621" s="84">
        <v>0</v>
      </c>
      <c r="D621" s="81"/>
    </row>
    <row r="622" spans="1:4" ht="15.75" thickBot="1" x14ac:dyDescent="0.3">
      <c r="A622" s="82" t="s">
        <v>1155</v>
      </c>
      <c r="B622" s="83" t="s">
        <v>544</v>
      </c>
      <c r="C622" s="84">
        <v>0</v>
      </c>
      <c r="D622" s="66" t="s">
        <v>1156</v>
      </c>
    </row>
    <row r="623" spans="1:4" ht="27" thickBot="1" x14ac:dyDescent="0.3">
      <c r="A623" s="82" t="s">
        <v>1157</v>
      </c>
      <c r="B623" s="83" t="s">
        <v>544</v>
      </c>
      <c r="C623" s="84">
        <v>0</v>
      </c>
      <c r="D623" s="81" t="s">
        <v>1158</v>
      </c>
    </row>
    <row r="624" spans="1:4" ht="27" thickBot="1" x14ac:dyDescent="0.3">
      <c r="A624" s="82" t="s">
        <v>1159</v>
      </c>
      <c r="B624" s="83" t="s">
        <v>296</v>
      </c>
      <c r="C624" s="84">
        <v>0</v>
      </c>
      <c r="D624" s="81" t="s">
        <v>1160</v>
      </c>
    </row>
    <row r="625" spans="1:4" ht="27" thickBot="1" x14ac:dyDescent="0.3">
      <c r="A625" s="82" t="s">
        <v>1161</v>
      </c>
      <c r="B625" s="83" t="s">
        <v>459</v>
      </c>
      <c r="C625" s="84">
        <v>0</v>
      </c>
      <c r="D625" s="81" t="s">
        <v>1158</v>
      </c>
    </row>
    <row r="626" spans="1:4" ht="15.75" thickBot="1" x14ac:dyDescent="0.3">
      <c r="A626" s="82" t="s">
        <v>1162</v>
      </c>
      <c r="B626" s="83" t="s">
        <v>596</v>
      </c>
      <c r="C626" s="84">
        <v>0</v>
      </c>
      <c r="D626" s="81"/>
    </row>
    <row r="627" spans="1:4" ht="15.75" thickBot="1" x14ac:dyDescent="0.3">
      <c r="A627" s="82" t="s">
        <v>1163</v>
      </c>
      <c r="B627" s="83" t="s">
        <v>296</v>
      </c>
      <c r="C627" s="84">
        <v>0</v>
      </c>
      <c r="D627" s="81"/>
    </row>
    <row r="628" spans="1:4" ht="15.75" thickBot="1" x14ac:dyDescent="0.3">
      <c r="A628" s="83" t="s">
        <v>1164</v>
      </c>
      <c r="B628" s="83" t="s">
        <v>759</v>
      </c>
      <c r="C628" s="84">
        <v>0</v>
      </c>
      <c r="D628" s="81"/>
    </row>
    <row r="629" spans="1:4" ht="15.75" thickBot="1" x14ac:dyDescent="0.3">
      <c r="A629" s="82" t="s">
        <v>1165</v>
      </c>
      <c r="B629" s="83" t="s">
        <v>761</v>
      </c>
      <c r="C629" s="84">
        <v>0</v>
      </c>
      <c r="D629" s="81"/>
    </row>
    <row r="630" spans="1:4" ht="15.75" thickBot="1" x14ac:dyDescent="0.3">
      <c r="A630" s="82" t="s">
        <v>1166</v>
      </c>
      <c r="B630" s="83" t="s">
        <v>546</v>
      </c>
      <c r="C630" s="84">
        <v>0</v>
      </c>
      <c r="D630" s="81"/>
    </row>
    <row r="631" spans="1:4" ht="15.75" thickBot="1" x14ac:dyDescent="0.3">
      <c r="A631" s="82" t="s">
        <v>1167</v>
      </c>
      <c r="B631" s="83" t="s">
        <v>596</v>
      </c>
      <c r="C631" s="85">
        <v>11</v>
      </c>
      <c r="D631" s="81"/>
    </row>
    <row r="632" spans="1:4" ht="15.75" thickBot="1" x14ac:dyDescent="0.3">
      <c r="A632" s="82" t="s">
        <v>1168</v>
      </c>
      <c r="B632" s="83" t="s">
        <v>296</v>
      </c>
      <c r="C632" s="85">
        <v>9</v>
      </c>
      <c r="D632" s="81"/>
    </row>
    <row r="633" spans="1:4" ht="27" thickBot="1" x14ac:dyDescent="0.3">
      <c r="A633" s="82" t="s">
        <v>1169</v>
      </c>
      <c r="B633" s="83" t="s">
        <v>509</v>
      </c>
      <c r="C633" s="85">
        <v>7</v>
      </c>
      <c r="D633" s="81" t="s">
        <v>1170</v>
      </c>
    </row>
    <row r="634" spans="1:4" ht="27" thickBot="1" x14ac:dyDescent="0.3">
      <c r="A634" s="82" t="s">
        <v>1171</v>
      </c>
      <c r="B634" s="83" t="s">
        <v>439</v>
      </c>
      <c r="C634" s="84">
        <v>0</v>
      </c>
      <c r="D634" s="81" t="s">
        <v>1172</v>
      </c>
    </row>
    <row r="635" spans="1:4" ht="15.75" thickBot="1" x14ac:dyDescent="0.3">
      <c r="A635" s="82" t="s">
        <v>1173</v>
      </c>
      <c r="B635" s="83" t="s">
        <v>761</v>
      </c>
      <c r="C635" s="84">
        <v>0</v>
      </c>
      <c r="D635" s="81"/>
    </row>
    <row r="636" spans="1:4" ht="27" thickBot="1" x14ac:dyDescent="0.3">
      <c r="A636" s="82" t="s">
        <v>1174</v>
      </c>
      <c r="B636" s="83" t="s">
        <v>596</v>
      </c>
      <c r="C636" s="86">
        <v>5</v>
      </c>
      <c r="D636" s="81" t="s">
        <v>1175</v>
      </c>
    </row>
    <row r="637" spans="1:4" ht="27" thickBot="1" x14ac:dyDescent="0.3">
      <c r="A637" s="82" t="s">
        <v>1176</v>
      </c>
      <c r="B637" s="83" t="s">
        <v>296</v>
      </c>
      <c r="C637" s="86">
        <v>2</v>
      </c>
      <c r="D637" s="81" t="s">
        <v>1177</v>
      </c>
    </row>
    <row r="638" spans="1:4" ht="27" thickBot="1" x14ac:dyDescent="0.3">
      <c r="A638" s="82" t="s">
        <v>1178</v>
      </c>
      <c r="B638" s="83" t="s">
        <v>509</v>
      </c>
      <c r="C638" s="85">
        <v>7</v>
      </c>
      <c r="D638" s="81" t="s">
        <v>1179</v>
      </c>
    </row>
    <row r="639" spans="1:4" ht="15.75" thickBot="1" x14ac:dyDescent="0.3">
      <c r="A639" s="82" t="s">
        <v>1180</v>
      </c>
      <c r="B639" s="83" t="s">
        <v>439</v>
      </c>
      <c r="C639" s="84">
        <v>0</v>
      </c>
      <c r="D639" s="81" t="s">
        <v>1181</v>
      </c>
    </row>
    <row r="640" spans="1:4" ht="15.75" thickBot="1" x14ac:dyDescent="0.3">
      <c r="A640" s="82" t="s">
        <v>1182</v>
      </c>
      <c r="B640" s="83" t="s">
        <v>596</v>
      </c>
      <c r="C640" s="86">
        <v>4</v>
      </c>
      <c r="D640" s="81"/>
    </row>
    <row r="641" spans="1:4" ht="15.75" thickBot="1" x14ac:dyDescent="0.3">
      <c r="A641" s="82" t="s">
        <v>1183</v>
      </c>
      <c r="B641" s="83" t="s">
        <v>296</v>
      </c>
      <c r="C641" s="85">
        <v>6</v>
      </c>
      <c r="D641" s="81"/>
    </row>
    <row r="642" spans="1:4" ht="15.75" thickBot="1" x14ac:dyDescent="0.3">
      <c r="A642" s="82" t="s">
        <v>1184</v>
      </c>
      <c r="B642" s="83" t="s">
        <v>509</v>
      </c>
      <c r="C642" s="86">
        <v>3</v>
      </c>
      <c r="D642" s="81"/>
    </row>
    <row r="643" spans="1:4" ht="15.75" thickBot="1" x14ac:dyDescent="0.3">
      <c r="A643" s="82" t="s">
        <v>1185</v>
      </c>
      <c r="B643" s="83" t="s">
        <v>596</v>
      </c>
      <c r="C643" s="84">
        <v>1</v>
      </c>
      <c r="D643" s="81"/>
    </row>
    <row r="644" spans="1:4" ht="27" thickBot="1" x14ac:dyDescent="0.3">
      <c r="A644" s="82" t="s">
        <v>1186</v>
      </c>
      <c r="B644" s="83" t="s">
        <v>296</v>
      </c>
      <c r="C644" s="86">
        <v>2</v>
      </c>
      <c r="D644" s="81" t="s">
        <v>599</v>
      </c>
    </row>
    <row r="645" spans="1:4" ht="27" thickBot="1" x14ac:dyDescent="0.3">
      <c r="A645" s="82" t="s">
        <v>1187</v>
      </c>
      <c r="B645" s="83" t="s">
        <v>509</v>
      </c>
      <c r="C645" s="84">
        <v>0</v>
      </c>
      <c r="D645" s="81" t="s">
        <v>1158</v>
      </c>
    </row>
    <row r="646" spans="1:4" ht="27" thickBot="1" x14ac:dyDescent="0.3">
      <c r="A646" s="82" t="s">
        <v>1188</v>
      </c>
      <c r="B646" s="83" t="s">
        <v>596</v>
      </c>
      <c r="C646" s="84">
        <v>0</v>
      </c>
      <c r="D646" s="81" t="s">
        <v>599</v>
      </c>
    </row>
    <row r="647" spans="1:4" ht="15.75" thickBot="1" x14ac:dyDescent="0.3">
      <c r="A647" s="82" t="s">
        <v>1189</v>
      </c>
      <c r="B647" s="83" t="s">
        <v>296</v>
      </c>
      <c r="C647" s="84">
        <v>0</v>
      </c>
      <c r="D647" s="81" t="s">
        <v>1190</v>
      </c>
    </row>
    <row r="648" spans="1:4" ht="15.75" thickBot="1" x14ac:dyDescent="0.3">
      <c r="A648" s="82" t="s">
        <v>1191</v>
      </c>
      <c r="B648" s="83" t="s">
        <v>509</v>
      </c>
      <c r="C648" s="84">
        <v>0</v>
      </c>
      <c r="D648" s="91" t="s">
        <v>1192</v>
      </c>
    </row>
    <row r="649" spans="1:4" ht="15.75" thickBot="1" x14ac:dyDescent="0.3">
      <c r="A649" s="82" t="s">
        <v>1193</v>
      </c>
      <c r="B649" s="83" t="s">
        <v>596</v>
      </c>
      <c r="C649" s="84">
        <v>0</v>
      </c>
      <c r="D649" s="81" t="s">
        <v>1194</v>
      </c>
    </row>
    <row r="650" spans="1:4" ht="27" thickBot="1" x14ac:dyDescent="0.3">
      <c r="A650" s="82" t="s">
        <v>1195</v>
      </c>
      <c r="B650" s="83" t="s">
        <v>296</v>
      </c>
      <c r="C650" s="84">
        <v>0</v>
      </c>
      <c r="D650" s="81" t="s">
        <v>1160</v>
      </c>
    </row>
    <row r="651" spans="1:4" ht="27" thickBot="1" x14ac:dyDescent="0.3">
      <c r="A651" s="82" t="s">
        <v>1196</v>
      </c>
      <c r="B651" s="83" t="s">
        <v>509</v>
      </c>
      <c r="C651" s="84">
        <v>0</v>
      </c>
      <c r="D651" s="81" t="s">
        <v>1197</v>
      </c>
    </row>
    <row r="652" spans="1:4" ht="15.75" thickBot="1" x14ac:dyDescent="0.3">
      <c r="A652" s="82" t="s">
        <v>1198</v>
      </c>
      <c r="B652" s="83" t="s">
        <v>296</v>
      </c>
      <c r="C652" s="86">
        <v>4</v>
      </c>
      <c r="D652" s="81"/>
    </row>
    <row r="653" spans="1:4" ht="27" thickBot="1" x14ac:dyDescent="0.3">
      <c r="A653" s="82" t="s">
        <v>1199</v>
      </c>
      <c r="B653" s="83" t="s">
        <v>509</v>
      </c>
      <c r="C653" s="84">
        <v>1</v>
      </c>
      <c r="D653" s="81" t="s">
        <v>1179</v>
      </c>
    </row>
    <row r="654" spans="1:4" ht="15.75" thickBot="1" x14ac:dyDescent="0.3">
      <c r="A654" s="82" t="s">
        <v>1200</v>
      </c>
      <c r="B654" s="83" t="s">
        <v>439</v>
      </c>
      <c r="C654" s="84">
        <v>0</v>
      </c>
      <c r="D654" s="81"/>
    </row>
    <row r="655" spans="1:4" ht="15.75" thickBot="1" x14ac:dyDescent="0.3">
      <c r="A655" s="82" t="s">
        <v>1201</v>
      </c>
      <c r="B655" s="83" t="s">
        <v>296</v>
      </c>
      <c r="C655" s="85">
        <v>6</v>
      </c>
      <c r="D655" s="81"/>
    </row>
    <row r="656" spans="1:4" ht="15.75" thickBot="1" x14ac:dyDescent="0.3">
      <c r="A656" s="82" t="s">
        <v>1202</v>
      </c>
      <c r="B656" s="83" t="s">
        <v>509</v>
      </c>
      <c r="C656" s="86">
        <v>2</v>
      </c>
      <c r="D656" s="81"/>
    </row>
    <row r="657" spans="1:4" ht="27" thickBot="1" x14ac:dyDescent="0.3">
      <c r="A657" s="82" t="s">
        <v>1203</v>
      </c>
      <c r="B657" s="83" t="s">
        <v>296</v>
      </c>
      <c r="C657" s="86">
        <v>2</v>
      </c>
      <c r="D657" s="81" t="s">
        <v>599</v>
      </c>
    </row>
    <row r="658" spans="1:4" ht="15.75" thickBot="1" x14ac:dyDescent="0.3">
      <c r="A658" s="82" t="s">
        <v>1204</v>
      </c>
      <c r="B658" s="83" t="s">
        <v>509</v>
      </c>
      <c r="C658" s="86">
        <v>3</v>
      </c>
      <c r="D658" s="91" t="s">
        <v>1205</v>
      </c>
    </row>
    <row r="659" spans="1:4" ht="15.75" thickBot="1" x14ac:dyDescent="0.3">
      <c r="A659" s="82" t="s">
        <v>1206</v>
      </c>
      <c r="B659" s="83" t="s">
        <v>296</v>
      </c>
      <c r="C659" s="86">
        <v>5</v>
      </c>
      <c r="D659" s="91" t="s">
        <v>1207</v>
      </c>
    </row>
    <row r="660" spans="1:4" ht="15.75" thickBot="1" x14ac:dyDescent="0.3">
      <c r="A660" s="82" t="s">
        <v>1208</v>
      </c>
      <c r="B660" s="83" t="s">
        <v>509</v>
      </c>
      <c r="C660" s="85">
        <v>6</v>
      </c>
      <c r="D660" s="81"/>
    </row>
    <row r="661" spans="1:4" ht="15.75" thickBot="1" x14ac:dyDescent="0.3">
      <c r="A661" s="82" t="s">
        <v>1209</v>
      </c>
      <c r="B661" s="83" t="s">
        <v>296</v>
      </c>
      <c r="C661" s="84">
        <v>0</v>
      </c>
      <c r="D661" s="81"/>
    </row>
    <row r="662" spans="1:4" ht="15.75" thickBot="1" x14ac:dyDescent="0.3">
      <c r="A662" s="82" t="s">
        <v>1210</v>
      </c>
      <c r="B662" s="83" t="s">
        <v>509</v>
      </c>
      <c r="C662" s="84">
        <v>0</v>
      </c>
      <c r="D662" s="81"/>
    </row>
    <row r="663" spans="1:4" ht="15.75" thickBot="1" x14ac:dyDescent="0.3">
      <c r="A663" s="82" t="s">
        <v>1211</v>
      </c>
      <c r="B663" s="83" t="s">
        <v>296</v>
      </c>
      <c r="C663" s="85">
        <v>9</v>
      </c>
      <c r="D663" s="81"/>
    </row>
    <row r="664" spans="1:4" ht="27" thickBot="1" x14ac:dyDescent="0.3">
      <c r="A664" s="82" t="s">
        <v>1212</v>
      </c>
      <c r="B664" s="83" t="s">
        <v>509</v>
      </c>
      <c r="C664" s="86">
        <v>5</v>
      </c>
      <c r="D664" s="81" t="s">
        <v>1213</v>
      </c>
    </row>
    <row r="665" spans="1:4" ht="27" thickBot="1" x14ac:dyDescent="0.3">
      <c r="A665" s="82" t="s">
        <v>1214</v>
      </c>
      <c r="B665" s="83" t="s">
        <v>596</v>
      </c>
      <c r="C665" s="85">
        <v>8</v>
      </c>
      <c r="D665" s="81" t="s">
        <v>1170</v>
      </c>
    </row>
    <row r="666" spans="1:4" ht="27" thickBot="1" x14ac:dyDescent="0.3">
      <c r="A666" s="82" t="s">
        <v>1215</v>
      </c>
      <c r="B666" s="83" t="s">
        <v>296</v>
      </c>
      <c r="C666" s="86">
        <v>4</v>
      </c>
      <c r="D666" s="81" t="s">
        <v>1216</v>
      </c>
    </row>
    <row r="667" spans="1:4" ht="27" thickBot="1" x14ac:dyDescent="0.3">
      <c r="A667" s="82" t="s">
        <v>1217</v>
      </c>
      <c r="B667" s="83" t="s">
        <v>509</v>
      </c>
      <c r="C667" s="86">
        <v>2</v>
      </c>
      <c r="D667" s="81" t="s">
        <v>1175</v>
      </c>
    </row>
    <row r="668" spans="1:4" ht="27" thickBot="1" x14ac:dyDescent="0.3">
      <c r="A668" s="82" t="s">
        <v>1218</v>
      </c>
      <c r="B668" s="83" t="s">
        <v>596</v>
      </c>
      <c r="C668" s="86">
        <v>2</v>
      </c>
      <c r="D668" s="81" t="s">
        <v>1177</v>
      </c>
    </row>
    <row r="669" spans="1:4" ht="15.75" thickBot="1" x14ac:dyDescent="0.3">
      <c r="A669" s="82" t="s">
        <v>1219</v>
      </c>
      <c r="B669" s="83" t="s">
        <v>296</v>
      </c>
      <c r="C669" s="84">
        <v>0</v>
      </c>
      <c r="D669" s="81"/>
    </row>
    <row r="670" spans="1:4" ht="15.75" thickBot="1" x14ac:dyDescent="0.3">
      <c r="A670" s="82" t="s">
        <v>1220</v>
      </c>
      <c r="B670" s="83" t="s">
        <v>509</v>
      </c>
      <c r="C670" s="84">
        <v>1</v>
      </c>
      <c r="D670" s="81"/>
    </row>
    <row r="671" spans="1:4" ht="15.75" thickBot="1" x14ac:dyDescent="0.3">
      <c r="A671" s="82" t="s">
        <v>1221</v>
      </c>
      <c r="B671" s="83" t="s">
        <v>439</v>
      </c>
      <c r="C671" s="84">
        <v>0</v>
      </c>
      <c r="D671" s="81"/>
    </row>
    <row r="672" spans="1:4" ht="15.75" thickBot="1" x14ac:dyDescent="0.3">
      <c r="A672" s="82" t="s">
        <v>1222</v>
      </c>
      <c r="B672" s="83" t="s">
        <v>761</v>
      </c>
      <c r="C672" s="86">
        <v>5</v>
      </c>
      <c r="D672" s="81"/>
    </row>
    <row r="673" spans="1:4" ht="15.75" thickBot="1" x14ac:dyDescent="0.3">
      <c r="A673" s="82" t="s">
        <v>1223</v>
      </c>
      <c r="B673" s="83" t="s">
        <v>546</v>
      </c>
      <c r="C673" s="84">
        <v>0</v>
      </c>
      <c r="D673" s="81"/>
    </row>
    <row r="674" spans="1:4" ht="15.75" thickBot="1" x14ac:dyDescent="0.3">
      <c r="A674" s="82" t="s">
        <v>1224</v>
      </c>
      <c r="B674" s="83" t="s">
        <v>596</v>
      </c>
      <c r="C674" s="84">
        <v>0</v>
      </c>
      <c r="D674" s="81"/>
    </row>
    <row r="675" spans="1:4" ht="15.75" thickBot="1" x14ac:dyDescent="0.3">
      <c r="A675" s="82" t="s">
        <v>1225</v>
      </c>
      <c r="B675" s="83" t="s">
        <v>296</v>
      </c>
      <c r="C675" s="84">
        <v>0</v>
      </c>
      <c r="D675" s="81"/>
    </row>
    <row r="676" spans="1:4" ht="15.75" thickBot="1" x14ac:dyDescent="0.3">
      <c r="A676" s="82" t="s">
        <v>1226</v>
      </c>
      <c r="B676" s="83" t="s">
        <v>596</v>
      </c>
      <c r="C676" s="85">
        <v>16</v>
      </c>
      <c r="D676" s="81"/>
    </row>
    <row r="677" spans="1:4" ht="15.75" thickBot="1" x14ac:dyDescent="0.3">
      <c r="A677" s="82" t="s">
        <v>1227</v>
      </c>
      <c r="B677" s="83" t="s">
        <v>296</v>
      </c>
      <c r="C677" s="86">
        <v>3</v>
      </c>
      <c r="D677" s="81"/>
    </row>
    <row r="678" spans="1:4" ht="27" thickBot="1" x14ac:dyDescent="0.3">
      <c r="A678" s="82" t="s">
        <v>1228</v>
      </c>
      <c r="B678" s="83" t="s">
        <v>509</v>
      </c>
      <c r="C678" s="85">
        <v>6</v>
      </c>
      <c r="D678" s="81" t="s">
        <v>1158</v>
      </c>
    </row>
    <row r="679" spans="1:4" ht="27" thickBot="1" x14ac:dyDescent="0.3">
      <c r="A679" s="82" t="s">
        <v>1229</v>
      </c>
      <c r="B679" s="83" t="s">
        <v>509</v>
      </c>
      <c r="C679" s="84">
        <v>0</v>
      </c>
      <c r="D679" s="81" t="s">
        <v>1158</v>
      </c>
    </row>
    <row r="680" spans="1:4" ht="15.75" thickBot="1" x14ac:dyDescent="0.3">
      <c r="A680" s="82" t="s">
        <v>1230</v>
      </c>
      <c r="B680" s="83" t="s">
        <v>596</v>
      </c>
      <c r="C680" s="84">
        <v>0</v>
      </c>
      <c r="D680" s="81"/>
    </row>
    <row r="681" spans="1:4" ht="15.75" thickBot="1" x14ac:dyDescent="0.3">
      <c r="A681" s="82" t="s">
        <v>1231</v>
      </c>
      <c r="B681" s="83" t="s">
        <v>296</v>
      </c>
      <c r="C681" s="84">
        <v>0</v>
      </c>
      <c r="D681" s="81"/>
    </row>
    <row r="682" spans="1:4" ht="15.75" thickBot="1" x14ac:dyDescent="0.3">
      <c r="A682" s="82" t="s">
        <v>1232</v>
      </c>
      <c r="B682" s="83" t="s">
        <v>509</v>
      </c>
      <c r="C682" s="84">
        <v>0</v>
      </c>
      <c r="D682" s="81"/>
    </row>
    <row r="683" spans="1:4" ht="15.75" thickBot="1" x14ac:dyDescent="0.3">
      <c r="A683" s="82" t="s">
        <v>1233</v>
      </c>
      <c r="B683" s="83" t="s">
        <v>596</v>
      </c>
      <c r="C683" s="85">
        <v>16</v>
      </c>
      <c r="D683" s="81"/>
    </row>
    <row r="684" spans="1:4" ht="15.75" thickBot="1" x14ac:dyDescent="0.3">
      <c r="A684" s="82" t="s">
        <v>1234</v>
      </c>
      <c r="B684" s="83" t="s">
        <v>296</v>
      </c>
      <c r="C684" s="85">
        <v>13</v>
      </c>
      <c r="D684" s="81"/>
    </row>
    <row r="685" spans="1:4" ht="15.75" thickBot="1" x14ac:dyDescent="0.3">
      <c r="A685" s="82" t="s">
        <v>1235</v>
      </c>
      <c r="B685" s="83" t="s">
        <v>509</v>
      </c>
      <c r="C685" s="86">
        <v>5</v>
      </c>
      <c r="D685" s="81"/>
    </row>
    <row r="686" spans="1:4" ht="15.75" thickBot="1" x14ac:dyDescent="0.3">
      <c r="A686" s="82" t="s">
        <v>1236</v>
      </c>
      <c r="B686" s="83" t="s">
        <v>596</v>
      </c>
      <c r="C686" s="86">
        <v>4</v>
      </c>
      <c r="D686" s="81"/>
    </row>
    <row r="687" spans="1:4" ht="15.75" thickBot="1" x14ac:dyDescent="0.3">
      <c r="A687" s="82" t="s">
        <v>1237</v>
      </c>
      <c r="B687" s="83" t="s">
        <v>296</v>
      </c>
      <c r="C687" s="86">
        <v>4</v>
      </c>
      <c r="D687" s="81"/>
    </row>
    <row r="688" spans="1:4" ht="15.75" thickBot="1" x14ac:dyDescent="0.3">
      <c r="A688" s="82" t="s">
        <v>1238</v>
      </c>
      <c r="B688" s="83" t="s">
        <v>509</v>
      </c>
      <c r="C688" s="84">
        <v>0</v>
      </c>
      <c r="D688" s="81"/>
    </row>
    <row r="689" spans="1:4" ht="15.75" thickBot="1" x14ac:dyDescent="0.3">
      <c r="A689" s="82" t="s">
        <v>1239</v>
      </c>
      <c r="B689" s="83" t="s">
        <v>596</v>
      </c>
      <c r="C689" s="84">
        <v>0</v>
      </c>
      <c r="D689" s="81"/>
    </row>
    <row r="690" spans="1:4" ht="15.75" thickBot="1" x14ac:dyDescent="0.3">
      <c r="A690" s="82" t="s">
        <v>1240</v>
      </c>
      <c r="B690" s="83" t="s">
        <v>596</v>
      </c>
      <c r="C690" s="84">
        <v>0</v>
      </c>
      <c r="D690" s="81"/>
    </row>
    <row r="691" spans="1:4" ht="15.75" thickBot="1" x14ac:dyDescent="0.3">
      <c r="A691" s="82" t="s">
        <v>1241</v>
      </c>
      <c r="B691" s="83" t="s">
        <v>296</v>
      </c>
      <c r="C691" s="84">
        <v>0</v>
      </c>
      <c r="D691" s="81"/>
    </row>
    <row r="692" spans="1:4" ht="15.75" thickBot="1" x14ac:dyDescent="0.3">
      <c r="A692" s="82" t="s">
        <v>1242</v>
      </c>
      <c r="B692" s="83" t="s">
        <v>509</v>
      </c>
      <c r="C692" s="84">
        <v>0</v>
      </c>
      <c r="D692" s="92" t="s">
        <v>1243</v>
      </c>
    </row>
    <row r="693" spans="1:4" ht="15.75" thickBot="1" x14ac:dyDescent="0.3">
      <c r="A693" s="82" t="s">
        <v>1244</v>
      </c>
      <c r="B693" s="83" t="s">
        <v>596</v>
      </c>
      <c r="C693" s="84">
        <v>0</v>
      </c>
      <c r="D693" s="81"/>
    </row>
    <row r="694" spans="1:4" ht="15.75" thickBot="1" x14ac:dyDescent="0.3">
      <c r="A694" s="82" t="s">
        <v>1245</v>
      </c>
      <c r="B694" s="83" t="s">
        <v>296</v>
      </c>
      <c r="C694" s="84">
        <v>0</v>
      </c>
      <c r="D694" s="81"/>
    </row>
    <row r="695" spans="1:4" ht="15.75" thickBot="1" x14ac:dyDescent="0.3">
      <c r="A695" s="82" t="s">
        <v>1246</v>
      </c>
      <c r="B695" s="83" t="s">
        <v>509</v>
      </c>
      <c r="C695" s="84">
        <v>0</v>
      </c>
      <c r="D695" s="81"/>
    </row>
    <row r="696" spans="1:4" ht="15.75" thickBot="1" x14ac:dyDescent="0.3">
      <c r="A696" s="82" t="s">
        <v>1247</v>
      </c>
      <c r="B696" s="83" t="s">
        <v>596</v>
      </c>
      <c r="C696" s="85">
        <v>17</v>
      </c>
      <c r="D696" s="64"/>
    </row>
    <row r="697" spans="1:4" ht="15.75" thickBot="1" x14ac:dyDescent="0.3">
      <c r="A697" s="82" t="s">
        <v>1248</v>
      </c>
      <c r="B697" s="83" t="s">
        <v>296</v>
      </c>
      <c r="C697" s="85">
        <v>6</v>
      </c>
      <c r="D697" s="81"/>
    </row>
    <row r="698" spans="1:4" ht="15.75" thickBot="1" x14ac:dyDescent="0.3">
      <c r="A698" s="82" t="s">
        <v>1249</v>
      </c>
      <c r="B698" s="83" t="s">
        <v>509</v>
      </c>
      <c r="C698" s="86">
        <v>4</v>
      </c>
      <c r="D698" s="81"/>
    </row>
    <row r="699" spans="1:4" ht="15.75" thickBot="1" x14ac:dyDescent="0.3">
      <c r="A699" s="82" t="s">
        <v>1250</v>
      </c>
      <c r="B699" s="83" t="s">
        <v>296</v>
      </c>
      <c r="C699" s="84">
        <v>0</v>
      </c>
      <c r="D699" s="81"/>
    </row>
    <row r="700" spans="1:4" ht="15.75" thickBot="1" x14ac:dyDescent="0.3">
      <c r="A700" s="82" t="s">
        <v>1251</v>
      </c>
      <c r="B700" s="83" t="s">
        <v>296</v>
      </c>
      <c r="C700" s="84">
        <v>0</v>
      </c>
      <c r="D700" s="81"/>
    </row>
    <row r="701" spans="1:4" ht="15.75" thickBot="1" x14ac:dyDescent="0.3">
      <c r="A701" s="82" t="s">
        <v>1252</v>
      </c>
      <c r="B701" s="83" t="s">
        <v>494</v>
      </c>
      <c r="C701" s="84">
        <v>0</v>
      </c>
      <c r="D701" s="81"/>
    </row>
    <row r="702" spans="1:4" ht="15.75" thickBot="1" x14ac:dyDescent="0.3">
      <c r="A702" s="82" t="s">
        <v>1253</v>
      </c>
      <c r="B702" s="83" t="s">
        <v>494</v>
      </c>
      <c r="C702" s="84">
        <v>0</v>
      </c>
      <c r="D702" s="81"/>
    </row>
    <row r="703" spans="1:4" ht="15.75" thickBot="1" x14ac:dyDescent="0.3">
      <c r="A703" s="82" t="s">
        <v>1254</v>
      </c>
      <c r="B703" s="83" t="s">
        <v>494</v>
      </c>
      <c r="C703" s="84">
        <v>0</v>
      </c>
      <c r="D703" s="81"/>
    </row>
    <row r="704" spans="1:4" ht="15.75" thickBot="1" x14ac:dyDescent="0.3">
      <c r="A704" s="82" t="s">
        <v>1255</v>
      </c>
      <c r="B704" s="83" t="s">
        <v>494</v>
      </c>
      <c r="C704" s="84">
        <v>0</v>
      </c>
      <c r="D704" s="81"/>
    </row>
    <row r="705" spans="1:4" ht="15.75" thickBot="1" x14ac:dyDescent="0.3">
      <c r="A705" s="82" t="s">
        <v>1256</v>
      </c>
      <c r="B705" s="83" t="s">
        <v>494</v>
      </c>
      <c r="C705" s="84">
        <v>0</v>
      </c>
      <c r="D705" s="81"/>
    </row>
    <row r="706" spans="1:4" ht="15.75" thickBot="1" x14ac:dyDescent="0.3">
      <c r="A706" s="82" t="s">
        <v>1257</v>
      </c>
      <c r="B706" s="83" t="s">
        <v>494</v>
      </c>
      <c r="C706" s="84">
        <v>0</v>
      </c>
      <c r="D706" s="81"/>
    </row>
    <row r="707" spans="1:4" ht="15.75" thickBot="1" x14ac:dyDescent="0.3">
      <c r="A707" s="82" t="s">
        <v>1258</v>
      </c>
      <c r="B707" s="83" t="s">
        <v>459</v>
      </c>
      <c r="C707" s="84">
        <v>1.4</v>
      </c>
      <c r="D707" s="81"/>
    </row>
    <row r="708" spans="1:4" ht="15.75" thickBot="1" x14ac:dyDescent="0.3">
      <c r="A708" s="82" t="s">
        <v>1259</v>
      </c>
      <c r="B708" s="83" t="s">
        <v>544</v>
      </c>
      <c r="C708" s="84">
        <v>0</v>
      </c>
      <c r="D708" s="81"/>
    </row>
    <row r="709" spans="1:4" ht="15.75" thickBot="1" x14ac:dyDescent="0.3">
      <c r="A709" s="82" t="s">
        <v>1260</v>
      </c>
      <c r="B709" s="83" t="s">
        <v>544</v>
      </c>
      <c r="C709" s="84">
        <v>0</v>
      </c>
      <c r="D709" s="81"/>
    </row>
    <row r="710" spans="1:4" ht="15.75" thickBot="1" x14ac:dyDescent="0.3">
      <c r="A710" s="82" t="s">
        <v>1261</v>
      </c>
      <c r="B710" s="83" t="s">
        <v>544</v>
      </c>
      <c r="C710" s="84">
        <v>0</v>
      </c>
      <c r="D710" s="81"/>
    </row>
    <row r="711" spans="1:4" ht="15.75" thickBot="1" x14ac:dyDescent="0.3">
      <c r="A711" s="82" t="s">
        <v>1262</v>
      </c>
      <c r="B711" s="83" t="s">
        <v>591</v>
      </c>
      <c r="C711" s="84">
        <v>0</v>
      </c>
      <c r="D711" s="81"/>
    </row>
    <row r="712" spans="1:4" ht="15.75" thickBot="1" x14ac:dyDescent="0.3">
      <c r="A712" s="82" t="s">
        <v>1263</v>
      </c>
      <c r="B712" s="83" t="s">
        <v>296</v>
      </c>
      <c r="C712" s="85">
        <v>13</v>
      </c>
      <c r="D712" s="81"/>
    </row>
    <row r="713" spans="1:4" ht="15.75" thickBot="1" x14ac:dyDescent="0.3">
      <c r="A713" s="82" t="s">
        <v>1264</v>
      </c>
      <c r="B713" s="83" t="s">
        <v>509</v>
      </c>
      <c r="C713" s="86">
        <v>3</v>
      </c>
      <c r="D713" s="81"/>
    </row>
    <row r="714" spans="1:4" ht="15.75" thickBot="1" x14ac:dyDescent="0.3">
      <c r="A714" s="82" t="s">
        <v>1265</v>
      </c>
      <c r="B714" s="83" t="s">
        <v>511</v>
      </c>
      <c r="C714" s="86">
        <v>4</v>
      </c>
      <c r="D714" s="81"/>
    </row>
    <row r="715" spans="1:4" ht="15.75" thickBot="1" x14ac:dyDescent="0.3">
      <c r="A715" s="82" t="s">
        <v>1266</v>
      </c>
      <c r="B715" s="83" t="s">
        <v>439</v>
      </c>
      <c r="C715" s="86">
        <v>4</v>
      </c>
      <c r="D715" s="81"/>
    </row>
    <row r="716" spans="1:4" ht="15.75" thickBot="1" x14ac:dyDescent="0.3">
      <c r="A716" s="82" t="s">
        <v>1267</v>
      </c>
      <c r="B716" s="83" t="s">
        <v>296</v>
      </c>
      <c r="C716" s="85">
        <v>7</v>
      </c>
      <c r="D716" s="81"/>
    </row>
    <row r="717" spans="1:4" ht="15.75" thickBot="1" x14ac:dyDescent="0.3">
      <c r="A717" s="82" t="s">
        <v>1268</v>
      </c>
      <c r="B717" s="83" t="s">
        <v>509</v>
      </c>
      <c r="C717" s="86">
        <v>3</v>
      </c>
      <c r="D717" s="81"/>
    </row>
    <row r="718" spans="1:4" ht="15.75" thickBot="1" x14ac:dyDescent="0.3">
      <c r="A718" s="82" t="s">
        <v>1269</v>
      </c>
      <c r="B718" s="83" t="s">
        <v>511</v>
      </c>
      <c r="C718" s="84">
        <v>0</v>
      </c>
      <c r="D718" s="81"/>
    </row>
    <row r="719" spans="1:4" ht="15.75" thickBot="1" x14ac:dyDescent="0.3">
      <c r="A719" s="82" t="s">
        <v>1270</v>
      </c>
      <c r="B719" s="83" t="s">
        <v>439</v>
      </c>
      <c r="C719" s="84">
        <v>0</v>
      </c>
      <c r="D719" s="81"/>
    </row>
    <row r="720" spans="1:4" ht="15.75" thickBot="1" x14ac:dyDescent="0.3">
      <c r="A720" s="82" t="s">
        <v>1271</v>
      </c>
      <c r="B720" s="83" t="s">
        <v>296</v>
      </c>
      <c r="C720" s="84">
        <v>0</v>
      </c>
      <c r="D720" s="81"/>
    </row>
    <row r="721" spans="1:4" ht="15.75" thickBot="1" x14ac:dyDescent="0.3">
      <c r="A721" s="82" t="s">
        <v>1272</v>
      </c>
      <c r="B721" s="83" t="s">
        <v>509</v>
      </c>
      <c r="C721" s="84">
        <v>0</v>
      </c>
      <c r="D721" s="81"/>
    </row>
    <row r="722" spans="1:4" ht="15.75" thickBot="1" x14ac:dyDescent="0.3">
      <c r="A722" s="82" t="s">
        <v>1273</v>
      </c>
      <c r="B722" s="83" t="s">
        <v>511</v>
      </c>
      <c r="C722" s="84">
        <v>0</v>
      </c>
      <c r="D722" s="81"/>
    </row>
    <row r="723" spans="1:4" ht="15.75" thickBot="1" x14ac:dyDescent="0.3">
      <c r="A723" s="82" t="s">
        <v>1274</v>
      </c>
      <c r="B723" s="83" t="s">
        <v>439</v>
      </c>
      <c r="C723" s="84">
        <v>0</v>
      </c>
      <c r="D723" s="81"/>
    </row>
    <row r="724" spans="1:4" ht="15.75" thickBot="1" x14ac:dyDescent="0.3">
      <c r="A724" s="82" t="s">
        <v>1275</v>
      </c>
      <c r="B724" s="83" t="s">
        <v>296</v>
      </c>
      <c r="C724" s="86">
        <v>4</v>
      </c>
      <c r="D724" s="81"/>
    </row>
    <row r="725" spans="1:4" ht="15.75" thickBot="1" x14ac:dyDescent="0.3">
      <c r="A725" s="82" t="s">
        <v>1276</v>
      </c>
      <c r="B725" s="83" t="s">
        <v>509</v>
      </c>
      <c r="C725" s="84">
        <v>1</v>
      </c>
      <c r="D725" s="81"/>
    </row>
    <row r="726" spans="1:4" ht="15.75" thickBot="1" x14ac:dyDescent="0.3">
      <c r="A726" s="82" t="s">
        <v>1277</v>
      </c>
      <c r="B726" s="83" t="s">
        <v>511</v>
      </c>
      <c r="C726" s="84">
        <v>0</v>
      </c>
      <c r="D726" s="81"/>
    </row>
    <row r="727" spans="1:4" ht="15.75" thickBot="1" x14ac:dyDescent="0.3">
      <c r="A727" s="82" t="s">
        <v>1278</v>
      </c>
      <c r="B727" s="83" t="s">
        <v>439</v>
      </c>
      <c r="C727" s="84">
        <v>0</v>
      </c>
      <c r="D727" s="81"/>
    </row>
    <row r="728" spans="1:4" ht="15.75" thickBot="1" x14ac:dyDescent="0.3">
      <c r="A728" s="82" t="s">
        <v>1279</v>
      </c>
      <c r="B728" s="83" t="s">
        <v>296</v>
      </c>
      <c r="C728" s="84">
        <v>0</v>
      </c>
      <c r="D728" s="81"/>
    </row>
    <row r="729" spans="1:4" ht="15.75" thickBot="1" x14ac:dyDescent="0.3">
      <c r="A729" s="82" t="s">
        <v>1280</v>
      </c>
      <c r="B729" s="83" t="s">
        <v>509</v>
      </c>
      <c r="C729" s="84">
        <v>0</v>
      </c>
      <c r="D729" s="81"/>
    </row>
    <row r="730" spans="1:4" ht="15.75" thickBot="1" x14ac:dyDescent="0.3">
      <c r="A730" s="82" t="s">
        <v>1281</v>
      </c>
      <c r="B730" s="83" t="s">
        <v>296</v>
      </c>
      <c r="C730" s="84">
        <v>0</v>
      </c>
      <c r="D730" s="81"/>
    </row>
    <row r="731" spans="1:4" ht="15.75" thickBot="1" x14ac:dyDescent="0.3">
      <c r="A731" s="82" t="s">
        <v>1282</v>
      </c>
      <c r="B731" s="83" t="s">
        <v>509</v>
      </c>
      <c r="C731" s="84">
        <v>0</v>
      </c>
      <c r="D731" s="81"/>
    </row>
    <row r="732" spans="1:4" ht="15.75" thickBot="1" x14ac:dyDescent="0.3">
      <c r="A732" s="82" t="s">
        <v>1283</v>
      </c>
      <c r="B732" s="83" t="s">
        <v>296</v>
      </c>
      <c r="C732" s="84">
        <v>0</v>
      </c>
      <c r="D732" s="81"/>
    </row>
    <row r="733" spans="1:4" ht="15.75" thickBot="1" x14ac:dyDescent="0.3">
      <c r="A733" s="82" t="s">
        <v>1284</v>
      </c>
      <c r="B733" s="83" t="s">
        <v>509</v>
      </c>
      <c r="C733" s="84">
        <v>0</v>
      </c>
      <c r="D733" s="81"/>
    </row>
    <row r="734" spans="1:4" ht="15.75" thickBot="1" x14ac:dyDescent="0.3">
      <c r="A734" s="82" t="s">
        <v>1285</v>
      </c>
      <c r="B734" s="83" t="s">
        <v>596</v>
      </c>
      <c r="C734" s="84">
        <v>0</v>
      </c>
      <c r="D734" s="81"/>
    </row>
    <row r="735" spans="1:4" ht="15.75" thickBot="1" x14ac:dyDescent="0.3">
      <c r="A735" s="82" t="s">
        <v>1286</v>
      </c>
      <c r="B735" s="83" t="s">
        <v>296</v>
      </c>
      <c r="C735" s="84">
        <v>0</v>
      </c>
      <c r="D735" s="81"/>
    </row>
    <row r="736" spans="1:4" ht="15.75" thickBot="1" x14ac:dyDescent="0.3">
      <c r="A736" s="82" t="s">
        <v>1287</v>
      </c>
      <c r="B736" s="83" t="s">
        <v>509</v>
      </c>
      <c r="C736" s="84">
        <v>1</v>
      </c>
      <c r="D736" s="81"/>
    </row>
    <row r="737" spans="1:4" ht="15.75" thickBot="1" x14ac:dyDescent="0.3">
      <c r="A737" s="82" t="s">
        <v>1288</v>
      </c>
      <c r="B737" s="83" t="s">
        <v>439</v>
      </c>
      <c r="C737" s="84">
        <v>0</v>
      </c>
      <c r="D737" s="81"/>
    </row>
    <row r="738" spans="1:4" ht="15.75" thickBot="1" x14ac:dyDescent="0.3">
      <c r="A738" s="82" t="s">
        <v>1289</v>
      </c>
      <c r="B738" s="83" t="s">
        <v>596</v>
      </c>
      <c r="C738" s="84">
        <v>0</v>
      </c>
      <c r="D738" s="81"/>
    </row>
    <row r="739" spans="1:4" ht="15.75" thickBot="1" x14ac:dyDescent="0.3">
      <c r="A739" s="82" t="s">
        <v>1290</v>
      </c>
      <c r="B739" s="83" t="s">
        <v>296</v>
      </c>
      <c r="C739" s="84">
        <v>0</v>
      </c>
      <c r="D739" s="81"/>
    </row>
    <row r="740" spans="1:4" ht="15.75" thickBot="1" x14ac:dyDescent="0.3">
      <c r="A740" s="82" t="s">
        <v>1291</v>
      </c>
      <c r="B740" s="83" t="s">
        <v>509</v>
      </c>
      <c r="C740" s="84">
        <v>0</v>
      </c>
      <c r="D740" s="81"/>
    </row>
    <row r="741" spans="1:4" ht="15.75" thickBot="1" x14ac:dyDescent="0.3">
      <c r="A741" s="82" t="s">
        <v>1292</v>
      </c>
      <c r="B741" s="83" t="s">
        <v>296</v>
      </c>
      <c r="C741" s="84">
        <v>0</v>
      </c>
      <c r="D741" s="81"/>
    </row>
    <row r="742" spans="1:4" ht="15.75" thickBot="1" x14ac:dyDescent="0.3">
      <c r="A742" s="82" t="s">
        <v>1293</v>
      </c>
      <c r="B742" s="83" t="s">
        <v>509</v>
      </c>
      <c r="C742" s="84">
        <v>0</v>
      </c>
      <c r="D742" s="81"/>
    </row>
    <row r="743" spans="1:4" ht="15.75" thickBot="1" x14ac:dyDescent="0.3">
      <c r="A743" s="82" t="s">
        <v>1294</v>
      </c>
      <c r="B743" s="83" t="s">
        <v>296</v>
      </c>
      <c r="C743" s="84">
        <v>0</v>
      </c>
      <c r="D743" s="81"/>
    </row>
    <row r="744" spans="1:4" ht="15.75" thickBot="1" x14ac:dyDescent="0.3">
      <c r="A744" s="82" t="s">
        <v>1295</v>
      </c>
      <c r="B744" s="83" t="s">
        <v>509</v>
      </c>
      <c r="C744" s="84">
        <v>0</v>
      </c>
      <c r="D744" s="81"/>
    </row>
    <row r="745" spans="1:4" ht="15.75" thickBot="1" x14ac:dyDescent="0.3">
      <c r="A745" s="82" t="s">
        <v>1296</v>
      </c>
      <c r="B745" s="83" t="s">
        <v>439</v>
      </c>
      <c r="C745" s="84">
        <v>0</v>
      </c>
      <c r="D745" s="81"/>
    </row>
    <row r="746" spans="1:4" ht="15.75" thickBot="1" x14ac:dyDescent="0.3">
      <c r="A746" s="82" t="s">
        <v>1297</v>
      </c>
      <c r="B746" s="83" t="s">
        <v>296</v>
      </c>
      <c r="C746" s="84">
        <v>0</v>
      </c>
      <c r="D746" s="81"/>
    </row>
    <row r="747" spans="1:4" ht="15.75" thickBot="1" x14ac:dyDescent="0.3">
      <c r="A747" s="82" t="s">
        <v>1298</v>
      </c>
      <c r="B747" s="83" t="s">
        <v>296</v>
      </c>
      <c r="C747" s="86">
        <v>2</v>
      </c>
      <c r="D747" s="81"/>
    </row>
    <row r="748" spans="1:4" ht="15.75" thickBot="1" x14ac:dyDescent="0.3">
      <c r="A748" s="82" t="s">
        <v>1299</v>
      </c>
      <c r="B748" s="83" t="s">
        <v>296</v>
      </c>
      <c r="C748" s="84">
        <v>0</v>
      </c>
      <c r="D748" s="81"/>
    </row>
    <row r="749" spans="1:4" ht="15.75" thickBot="1" x14ac:dyDescent="0.3">
      <c r="A749" s="82" t="s">
        <v>1300</v>
      </c>
      <c r="B749" s="83" t="s">
        <v>296</v>
      </c>
      <c r="C749" s="85">
        <v>6</v>
      </c>
      <c r="D749" s="81"/>
    </row>
    <row r="750" spans="1:4" ht="15.75" thickBot="1" x14ac:dyDescent="0.3">
      <c r="A750" s="82" t="s">
        <v>1301</v>
      </c>
      <c r="B750" s="83" t="s">
        <v>296</v>
      </c>
      <c r="C750" s="84">
        <v>0</v>
      </c>
      <c r="D750" s="81"/>
    </row>
    <row r="751" spans="1:4" ht="15.75" thickBot="1" x14ac:dyDescent="0.3">
      <c r="A751" s="82" t="s">
        <v>1302</v>
      </c>
      <c r="B751" s="83" t="s">
        <v>494</v>
      </c>
      <c r="C751" s="84">
        <v>0</v>
      </c>
      <c r="D751" s="81"/>
    </row>
    <row r="752" spans="1:4" ht="15.75" thickBot="1" x14ac:dyDescent="0.3">
      <c r="A752" s="82" t="s">
        <v>1303</v>
      </c>
      <c r="B752" s="83" t="s">
        <v>544</v>
      </c>
      <c r="C752" s="84">
        <v>0</v>
      </c>
      <c r="D752" s="81"/>
    </row>
    <row r="753" spans="1:4" ht="15.75" thickBot="1" x14ac:dyDescent="0.3">
      <c r="A753" s="82" t="s">
        <v>1304</v>
      </c>
      <c r="B753" s="83" t="s">
        <v>544</v>
      </c>
      <c r="C753" s="85">
        <v>58</v>
      </c>
      <c r="D753" s="81"/>
    </row>
    <row r="754" spans="1:4" ht="15.75" thickBot="1" x14ac:dyDescent="0.3">
      <c r="A754" s="82" t="s">
        <v>1305</v>
      </c>
      <c r="B754" s="83" t="s">
        <v>544</v>
      </c>
      <c r="C754" s="85">
        <v>105</v>
      </c>
      <c r="D754" s="81"/>
    </row>
    <row r="755" spans="1:4" ht="15.75" thickBot="1" x14ac:dyDescent="0.3">
      <c r="A755" s="82" t="s">
        <v>1306</v>
      </c>
      <c r="B755" s="83" t="s">
        <v>544</v>
      </c>
      <c r="C755" s="84">
        <v>-1</v>
      </c>
      <c r="D755" s="81"/>
    </row>
    <row r="756" spans="1:4" ht="15.75" thickBot="1" x14ac:dyDescent="0.3">
      <c r="A756" s="82" t="s">
        <v>1307</v>
      </c>
      <c r="B756" s="83" t="s">
        <v>544</v>
      </c>
      <c r="C756" s="85">
        <v>39</v>
      </c>
      <c r="D756" s="81"/>
    </row>
    <row r="757" spans="1:4" ht="15.75" thickBot="1" x14ac:dyDescent="0.3">
      <c r="A757" s="82" t="s">
        <v>225</v>
      </c>
      <c r="B757" s="83" t="s">
        <v>544</v>
      </c>
      <c r="C757" s="84">
        <v>0</v>
      </c>
      <c r="D757" s="81"/>
    </row>
    <row r="758" spans="1:4" ht="15.75" thickBot="1" x14ac:dyDescent="0.3">
      <c r="A758" s="82" t="s">
        <v>1308</v>
      </c>
      <c r="B758" s="83" t="s">
        <v>494</v>
      </c>
      <c r="C758" s="84">
        <v>0</v>
      </c>
      <c r="D758" s="81"/>
    </row>
    <row r="759" spans="1:4" ht="15.75" thickBot="1" x14ac:dyDescent="0.3">
      <c r="A759" s="82" t="s">
        <v>1309</v>
      </c>
      <c r="B759" s="83" t="s">
        <v>494</v>
      </c>
      <c r="C759" s="84">
        <v>0</v>
      </c>
      <c r="D759" s="81"/>
    </row>
    <row r="760" spans="1:4" ht="15.75" thickBot="1" x14ac:dyDescent="0.3">
      <c r="A760" s="82" t="s">
        <v>1310</v>
      </c>
      <c r="B760" s="83" t="s">
        <v>494</v>
      </c>
      <c r="C760" s="84">
        <v>0</v>
      </c>
      <c r="D760" s="81"/>
    </row>
    <row r="761" spans="1:4" ht="15.75" thickBot="1" x14ac:dyDescent="0.3">
      <c r="A761" s="82" t="s">
        <v>1311</v>
      </c>
      <c r="B761" s="83" t="s">
        <v>494</v>
      </c>
      <c r="C761" s="84">
        <v>0</v>
      </c>
      <c r="D761" s="81"/>
    </row>
    <row r="762" spans="1:4" ht="15.75" thickBot="1" x14ac:dyDescent="0.3">
      <c r="A762" s="82" t="s">
        <v>1312</v>
      </c>
      <c r="B762" s="83" t="s">
        <v>494</v>
      </c>
      <c r="C762" s="84">
        <v>0</v>
      </c>
      <c r="D762" s="81"/>
    </row>
    <row r="763" spans="1:4" ht="15.75" thickBot="1" x14ac:dyDescent="0.3">
      <c r="A763" s="82" t="s">
        <v>1313</v>
      </c>
      <c r="B763" s="83" t="s">
        <v>544</v>
      </c>
      <c r="C763" s="84">
        <v>0</v>
      </c>
      <c r="D763" s="81"/>
    </row>
    <row r="764" spans="1:4" ht="15.75" thickBot="1" x14ac:dyDescent="0.3">
      <c r="A764" s="82" t="s">
        <v>1314</v>
      </c>
      <c r="B764" s="83" t="s">
        <v>544</v>
      </c>
      <c r="C764" s="84">
        <v>0</v>
      </c>
      <c r="D764" s="81"/>
    </row>
    <row r="765" spans="1:4" ht="15.75" thickBot="1" x14ac:dyDescent="0.3">
      <c r="A765" s="82" t="s">
        <v>1315</v>
      </c>
      <c r="B765" s="83" t="s">
        <v>544</v>
      </c>
      <c r="C765" s="84">
        <v>0</v>
      </c>
      <c r="D765" s="81"/>
    </row>
    <row r="766" spans="1:4" ht="15.75" thickBot="1" x14ac:dyDescent="0.3">
      <c r="A766" s="82" t="s">
        <v>1316</v>
      </c>
      <c r="B766" s="83" t="s">
        <v>544</v>
      </c>
      <c r="C766" s="84">
        <v>1</v>
      </c>
      <c r="D766" s="81"/>
    </row>
    <row r="767" spans="1:4" ht="15.75" thickBot="1" x14ac:dyDescent="0.3">
      <c r="A767" s="82" t="s">
        <v>1317</v>
      </c>
      <c r="B767" s="83" t="s">
        <v>677</v>
      </c>
      <c r="C767" s="85">
        <v>9</v>
      </c>
      <c r="D767" s="81"/>
    </row>
    <row r="768" spans="1:4" ht="15.75" thickBot="1" x14ac:dyDescent="0.3">
      <c r="A768" s="82" t="s">
        <v>1318</v>
      </c>
      <c r="B768" s="83" t="s">
        <v>546</v>
      </c>
      <c r="C768" s="84">
        <v>0</v>
      </c>
      <c r="D768" s="81"/>
    </row>
    <row r="769" spans="1:4" ht="15.75" thickBot="1" x14ac:dyDescent="0.3">
      <c r="A769" s="82" t="s">
        <v>1319</v>
      </c>
      <c r="B769" s="83" t="s">
        <v>296</v>
      </c>
      <c r="C769" s="86">
        <v>2</v>
      </c>
      <c r="D769" s="81"/>
    </row>
    <row r="770" spans="1:4" ht="15.75" thickBot="1" x14ac:dyDescent="0.3">
      <c r="A770" s="82" t="s">
        <v>1320</v>
      </c>
      <c r="B770" s="83" t="s">
        <v>509</v>
      </c>
      <c r="C770" s="86">
        <v>3</v>
      </c>
      <c r="D770" s="81"/>
    </row>
    <row r="771" spans="1:4" ht="15.75" thickBot="1" x14ac:dyDescent="0.3">
      <c r="A771" s="82" t="s">
        <v>1321</v>
      </c>
      <c r="B771" s="83" t="s">
        <v>511</v>
      </c>
      <c r="C771" s="86">
        <v>3</v>
      </c>
      <c r="D771" s="81"/>
    </row>
    <row r="772" spans="1:4" ht="15.75" thickBot="1" x14ac:dyDescent="0.3">
      <c r="A772" s="82" t="s">
        <v>1322</v>
      </c>
      <c r="B772" s="83" t="s">
        <v>439</v>
      </c>
      <c r="C772" s="86">
        <v>4</v>
      </c>
      <c r="D772" s="81"/>
    </row>
    <row r="773" spans="1:4" ht="15.75" thickBot="1" x14ac:dyDescent="0.3">
      <c r="A773" s="82" t="s">
        <v>1323</v>
      </c>
      <c r="B773" s="83" t="s">
        <v>546</v>
      </c>
      <c r="C773" s="84">
        <v>0</v>
      </c>
      <c r="D773" s="81"/>
    </row>
    <row r="774" spans="1:4" ht="15.75" thickBot="1" x14ac:dyDescent="0.3">
      <c r="A774" s="82" t="s">
        <v>1324</v>
      </c>
      <c r="B774" s="83" t="s">
        <v>296</v>
      </c>
      <c r="C774" s="86">
        <v>3</v>
      </c>
      <c r="D774" s="81"/>
    </row>
    <row r="775" spans="1:4" ht="15.75" thickBot="1" x14ac:dyDescent="0.3">
      <c r="A775" s="82" t="s">
        <v>1325</v>
      </c>
      <c r="B775" s="83" t="s">
        <v>509</v>
      </c>
      <c r="C775" s="85">
        <v>6</v>
      </c>
      <c r="D775" s="81"/>
    </row>
    <row r="776" spans="1:4" ht="15.75" thickBot="1" x14ac:dyDescent="0.3">
      <c r="A776" s="82" t="s">
        <v>1326</v>
      </c>
      <c r="B776" s="83" t="s">
        <v>511</v>
      </c>
      <c r="C776" s="84">
        <v>0</v>
      </c>
      <c r="D776" s="81"/>
    </row>
    <row r="777" spans="1:4" ht="15.75" thickBot="1" x14ac:dyDescent="0.3">
      <c r="A777" s="82" t="s">
        <v>1327</v>
      </c>
      <c r="B777" s="83" t="s">
        <v>439</v>
      </c>
      <c r="C777" s="84">
        <v>0</v>
      </c>
      <c r="D777" s="81"/>
    </row>
    <row r="778" spans="1:4" ht="15.75" thickBot="1" x14ac:dyDescent="0.3">
      <c r="A778" s="82" t="s">
        <v>1328</v>
      </c>
      <c r="B778" s="83" t="s">
        <v>546</v>
      </c>
      <c r="C778" s="84">
        <v>0</v>
      </c>
      <c r="D778" s="81"/>
    </row>
    <row r="779" spans="1:4" ht="15.75" thickBot="1" x14ac:dyDescent="0.3">
      <c r="A779" s="82" t="s">
        <v>1329</v>
      </c>
      <c r="B779" s="83" t="s">
        <v>296</v>
      </c>
      <c r="C779" s="85">
        <v>7</v>
      </c>
      <c r="D779" s="81"/>
    </row>
    <row r="780" spans="1:4" ht="15.75" thickBot="1" x14ac:dyDescent="0.3">
      <c r="A780" s="82" t="s">
        <v>1330</v>
      </c>
      <c r="B780" s="83" t="s">
        <v>509</v>
      </c>
      <c r="C780" s="85">
        <v>10</v>
      </c>
      <c r="D780" s="81"/>
    </row>
    <row r="781" spans="1:4" ht="15.75" thickBot="1" x14ac:dyDescent="0.3">
      <c r="A781" s="82" t="s">
        <v>1331</v>
      </c>
      <c r="B781" s="83" t="s">
        <v>511</v>
      </c>
      <c r="C781" s="86">
        <v>3</v>
      </c>
      <c r="D781" s="81"/>
    </row>
    <row r="782" spans="1:4" ht="15.75" thickBot="1" x14ac:dyDescent="0.3">
      <c r="A782" s="82" t="s">
        <v>1332</v>
      </c>
      <c r="B782" s="83" t="s">
        <v>439</v>
      </c>
      <c r="C782" s="86">
        <v>4</v>
      </c>
      <c r="D782" s="81"/>
    </row>
    <row r="783" spans="1:4" ht="15.75" thickBot="1" x14ac:dyDescent="0.3">
      <c r="A783" s="82" t="s">
        <v>1333</v>
      </c>
      <c r="B783" s="83" t="s">
        <v>546</v>
      </c>
      <c r="C783" s="84">
        <v>0</v>
      </c>
      <c r="D783" s="81"/>
    </row>
    <row r="784" spans="1:4" ht="15.75" thickBot="1" x14ac:dyDescent="0.3">
      <c r="A784" s="82" t="s">
        <v>1334</v>
      </c>
      <c r="B784" s="83" t="s">
        <v>296</v>
      </c>
      <c r="C784" s="84">
        <v>0</v>
      </c>
      <c r="D784" s="81"/>
    </row>
    <row r="785" spans="1:4" ht="15.75" thickBot="1" x14ac:dyDescent="0.3">
      <c r="A785" s="82" t="s">
        <v>1335</v>
      </c>
      <c r="B785" s="83" t="s">
        <v>509</v>
      </c>
      <c r="C785" s="84">
        <v>1</v>
      </c>
      <c r="D785" s="81"/>
    </row>
    <row r="786" spans="1:4" ht="15.75" thickBot="1" x14ac:dyDescent="0.3">
      <c r="A786" s="82" t="s">
        <v>1336</v>
      </c>
      <c r="B786" s="83" t="s">
        <v>511</v>
      </c>
      <c r="C786" s="84">
        <v>0</v>
      </c>
      <c r="D786" s="81"/>
    </row>
    <row r="787" spans="1:4" ht="15.75" thickBot="1" x14ac:dyDescent="0.3">
      <c r="A787" s="82" t="s">
        <v>1337</v>
      </c>
      <c r="B787" s="83" t="s">
        <v>439</v>
      </c>
      <c r="C787" s="84">
        <v>0</v>
      </c>
      <c r="D787" s="81"/>
    </row>
    <row r="788" spans="1:4" ht="15.75" thickBot="1" x14ac:dyDescent="0.3">
      <c r="A788" s="82" t="s">
        <v>1338</v>
      </c>
      <c r="B788" s="83" t="s">
        <v>296</v>
      </c>
      <c r="C788" s="85">
        <v>10</v>
      </c>
      <c r="D788" s="81"/>
    </row>
    <row r="789" spans="1:4" ht="15.75" thickBot="1" x14ac:dyDescent="0.3">
      <c r="A789" s="82" t="s">
        <v>1339</v>
      </c>
      <c r="B789" s="83" t="s">
        <v>509</v>
      </c>
      <c r="C789" s="85">
        <v>37</v>
      </c>
      <c r="D789" s="81"/>
    </row>
    <row r="790" spans="1:4" ht="15.75" thickBot="1" x14ac:dyDescent="0.3">
      <c r="A790" s="82" t="s">
        <v>1340</v>
      </c>
      <c r="B790" s="83" t="s">
        <v>1341</v>
      </c>
      <c r="C790" s="84">
        <v>1</v>
      </c>
      <c r="D790" s="81"/>
    </row>
    <row r="791" spans="1:4" ht="15.75" thickBot="1" x14ac:dyDescent="0.3">
      <c r="A791" s="82" t="s">
        <v>1342</v>
      </c>
      <c r="B791" s="83" t="s">
        <v>1343</v>
      </c>
      <c r="C791" s="84">
        <v>0</v>
      </c>
      <c r="D791" s="81"/>
    </row>
    <row r="792" spans="1:4" ht="27" thickBot="1" x14ac:dyDescent="0.3">
      <c r="A792" s="82" t="s">
        <v>1344</v>
      </c>
      <c r="B792" s="83" t="s">
        <v>494</v>
      </c>
      <c r="C792" s="84">
        <v>0</v>
      </c>
      <c r="D792" s="81"/>
    </row>
    <row r="793" spans="1:4" ht="15.75" thickBot="1" x14ac:dyDescent="0.3">
      <c r="A793" s="82" t="s">
        <v>252</v>
      </c>
      <c r="B793" s="83" t="s">
        <v>677</v>
      </c>
      <c r="C793" s="84">
        <v>0</v>
      </c>
      <c r="D793" s="81"/>
    </row>
    <row r="794" spans="1:4" ht="15.75" thickBot="1" x14ac:dyDescent="0.3">
      <c r="A794" s="82" t="s">
        <v>1345</v>
      </c>
      <c r="B794" s="83" t="s">
        <v>494</v>
      </c>
      <c r="C794" s="84">
        <v>0</v>
      </c>
      <c r="D794" s="81"/>
    </row>
    <row r="795" spans="1:4" ht="15.75" thickBot="1" x14ac:dyDescent="0.3">
      <c r="A795" s="82" t="s">
        <v>1346</v>
      </c>
      <c r="B795" s="83" t="s">
        <v>296</v>
      </c>
      <c r="C795" s="84">
        <v>0</v>
      </c>
      <c r="D795" s="81"/>
    </row>
    <row r="796" spans="1:4" ht="15.75" thickBot="1" x14ac:dyDescent="0.3">
      <c r="A796" s="82" t="s">
        <v>1347</v>
      </c>
      <c r="B796" s="83" t="s">
        <v>511</v>
      </c>
      <c r="C796" s="84">
        <v>0</v>
      </c>
      <c r="D796" s="81"/>
    </row>
    <row r="797" spans="1:4" ht="15.75" thickBot="1" x14ac:dyDescent="0.3">
      <c r="A797" s="82" t="s">
        <v>1348</v>
      </c>
      <c r="B797" s="83" t="s">
        <v>439</v>
      </c>
      <c r="C797" s="84">
        <v>0</v>
      </c>
      <c r="D797" s="81"/>
    </row>
    <row r="798" spans="1:4" ht="15.75" thickBot="1" x14ac:dyDescent="0.3">
      <c r="A798" s="82" t="s">
        <v>1349</v>
      </c>
      <c r="B798" s="83" t="s">
        <v>439</v>
      </c>
      <c r="C798" s="84">
        <v>0</v>
      </c>
      <c r="D798" s="81"/>
    </row>
    <row r="799" spans="1:4" ht="15.75" thickBot="1" x14ac:dyDescent="0.3">
      <c r="A799" s="82" t="s">
        <v>1350</v>
      </c>
      <c r="B799" s="83" t="s">
        <v>494</v>
      </c>
      <c r="C799" s="84">
        <v>0</v>
      </c>
      <c r="D799" s="81"/>
    </row>
    <row r="800" spans="1:4" ht="15.75" thickBot="1" x14ac:dyDescent="0.3">
      <c r="A800" s="82" t="s">
        <v>1351</v>
      </c>
      <c r="B800" s="83" t="s">
        <v>544</v>
      </c>
      <c r="C800" s="84">
        <v>0</v>
      </c>
      <c r="D800" s="81"/>
    </row>
    <row r="801" spans="1:4" ht="15.75" thickBot="1" x14ac:dyDescent="0.3">
      <c r="A801" s="82" t="s">
        <v>1352</v>
      </c>
      <c r="B801" s="83" t="s">
        <v>544</v>
      </c>
      <c r="C801" s="84">
        <v>0</v>
      </c>
      <c r="D801" s="81"/>
    </row>
    <row r="802" spans="1:4" ht="15.75" thickBot="1" x14ac:dyDescent="0.3">
      <c r="A802" s="82" t="s">
        <v>1353</v>
      </c>
      <c r="B802" s="83" t="s">
        <v>544</v>
      </c>
      <c r="C802" s="84">
        <v>0</v>
      </c>
      <c r="D802" s="81"/>
    </row>
    <row r="803" spans="1:4" ht="15.75" thickBot="1" x14ac:dyDescent="0.3">
      <c r="A803" s="82" t="s">
        <v>1354</v>
      </c>
      <c r="B803" s="83" t="s">
        <v>544</v>
      </c>
      <c r="C803" s="85">
        <v>8</v>
      </c>
      <c r="D803" s="81"/>
    </row>
    <row r="804" spans="1:4" ht="15.75" thickBot="1" x14ac:dyDescent="0.3">
      <c r="A804" s="82" t="s">
        <v>1355</v>
      </c>
      <c r="B804" s="83" t="s">
        <v>544</v>
      </c>
      <c r="C804" s="85">
        <v>33</v>
      </c>
      <c r="D804" s="81"/>
    </row>
    <row r="805" spans="1:4" ht="15.75" thickBot="1" x14ac:dyDescent="0.3">
      <c r="A805" s="82" t="s">
        <v>1356</v>
      </c>
      <c r="B805" s="83" t="s">
        <v>544</v>
      </c>
      <c r="C805" s="84">
        <v>0</v>
      </c>
      <c r="D805" s="81"/>
    </row>
    <row r="806" spans="1:4" ht="15.75" thickBot="1" x14ac:dyDescent="0.3">
      <c r="A806" s="82" t="s">
        <v>1357</v>
      </c>
      <c r="B806" s="83" t="s">
        <v>544</v>
      </c>
      <c r="C806" s="84">
        <v>0</v>
      </c>
      <c r="D806" s="81"/>
    </row>
    <row r="807" spans="1:4" ht="15.75" thickBot="1" x14ac:dyDescent="0.3">
      <c r="A807" s="82" t="s">
        <v>1358</v>
      </c>
      <c r="B807" s="83" t="s">
        <v>544</v>
      </c>
      <c r="C807" s="84">
        <v>-1</v>
      </c>
      <c r="D807" s="81"/>
    </row>
    <row r="808" spans="1:4" ht="15.75" thickBot="1" x14ac:dyDescent="0.3">
      <c r="A808" s="82" t="s">
        <v>1359</v>
      </c>
      <c r="B808" s="83" t="s">
        <v>544</v>
      </c>
      <c r="C808" s="84">
        <v>0</v>
      </c>
      <c r="D808" s="81"/>
    </row>
    <row r="809" spans="1:4" ht="15.75" thickBot="1" x14ac:dyDescent="0.3">
      <c r="A809" s="82" t="s">
        <v>1360</v>
      </c>
      <c r="B809" s="83" t="s">
        <v>544</v>
      </c>
      <c r="C809" s="84">
        <v>1</v>
      </c>
      <c r="D809" s="81"/>
    </row>
    <row r="810" spans="1:4" ht="15.75" thickBot="1" x14ac:dyDescent="0.3">
      <c r="A810" s="82" t="s">
        <v>1361</v>
      </c>
      <c r="B810" s="83" t="s">
        <v>544</v>
      </c>
      <c r="C810" s="85">
        <v>20</v>
      </c>
      <c r="D810" s="81"/>
    </row>
    <row r="811" spans="1:4" ht="15.75" thickBot="1" x14ac:dyDescent="0.3">
      <c r="A811" s="82" t="s">
        <v>1362</v>
      </c>
      <c r="B811" s="83" t="s">
        <v>544</v>
      </c>
      <c r="C811" s="85">
        <v>34</v>
      </c>
      <c r="D811" s="81"/>
    </row>
    <row r="812" spans="1:4" ht="15.75" thickBot="1" x14ac:dyDescent="0.3">
      <c r="A812" s="82" t="s">
        <v>1363</v>
      </c>
      <c r="B812" s="83" t="s">
        <v>544</v>
      </c>
      <c r="C812" s="84">
        <v>0</v>
      </c>
      <c r="D812" s="81"/>
    </row>
    <row r="813" spans="1:4" ht="15.75" thickBot="1" x14ac:dyDescent="0.3">
      <c r="A813" s="82" t="s">
        <v>1364</v>
      </c>
      <c r="B813" s="83" t="s">
        <v>544</v>
      </c>
      <c r="C813" s="84">
        <v>0</v>
      </c>
      <c r="D813" s="81"/>
    </row>
    <row r="814" spans="1:4" ht="15.75" thickBot="1" x14ac:dyDescent="0.3">
      <c r="A814" s="82" t="s">
        <v>1365</v>
      </c>
      <c r="B814" s="83" t="s">
        <v>544</v>
      </c>
      <c r="C814" s="84">
        <v>1</v>
      </c>
      <c r="D814" s="81"/>
    </row>
    <row r="815" spans="1:4" ht="15.75" thickBot="1" x14ac:dyDescent="0.3">
      <c r="A815" s="82" t="s">
        <v>1366</v>
      </c>
      <c r="B815" s="83" t="s">
        <v>677</v>
      </c>
      <c r="C815" s="85">
        <v>42</v>
      </c>
      <c r="D815" s="81"/>
    </row>
    <row r="816" spans="1:4" ht="15.75" thickBot="1" x14ac:dyDescent="0.3">
      <c r="A816" s="82" t="s">
        <v>1367</v>
      </c>
      <c r="B816" s="83" t="s">
        <v>546</v>
      </c>
      <c r="C816" s="84">
        <v>0</v>
      </c>
      <c r="D816" s="81"/>
    </row>
    <row r="817" spans="1:4" ht="15.75" thickBot="1" x14ac:dyDescent="0.3">
      <c r="A817" s="82" t="s">
        <v>1368</v>
      </c>
      <c r="B817" s="83" t="s">
        <v>296</v>
      </c>
      <c r="C817" s="84">
        <v>0</v>
      </c>
      <c r="D817" s="81"/>
    </row>
    <row r="818" spans="1:4" ht="15.75" thickBot="1" x14ac:dyDescent="0.3">
      <c r="A818" s="82" t="s">
        <v>1369</v>
      </c>
      <c r="B818" s="83" t="s">
        <v>546</v>
      </c>
      <c r="C818" s="84">
        <v>0</v>
      </c>
      <c r="D818" s="81"/>
    </row>
    <row r="819" spans="1:4" ht="15.75" thickBot="1" x14ac:dyDescent="0.3">
      <c r="A819" s="82" t="s">
        <v>1370</v>
      </c>
      <c r="B819" s="83" t="s">
        <v>296</v>
      </c>
      <c r="C819" s="84">
        <v>0</v>
      </c>
      <c r="D819" s="81"/>
    </row>
    <row r="820" spans="1:4" ht="15.75" thickBot="1" x14ac:dyDescent="0.3">
      <c r="A820" s="82" t="s">
        <v>1371</v>
      </c>
      <c r="B820" s="83" t="s">
        <v>459</v>
      </c>
      <c r="C820" s="84">
        <v>0</v>
      </c>
      <c r="D820" s="81"/>
    </row>
    <row r="821" spans="1:4" ht="15.75" thickBot="1" x14ac:dyDescent="0.3">
      <c r="A821" s="82" t="s">
        <v>1372</v>
      </c>
      <c r="B821" s="83" t="s">
        <v>589</v>
      </c>
      <c r="C821" s="84">
        <v>0</v>
      </c>
      <c r="D821" s="81"/>
    </row>
    <row r="822" spans="1:4" ht="15.75" thickBot="1" x14ac:dyDescent="0.3">
      <c r="A822" s="82" t="s">
        <v>1373</v>
      </c>
      <c r="B822" s="83" t="s">
        <v>544</v>
      </c>
      <c r="C822" s="84">
        <v>0</v>
      </c>
      <c r="D822" s="81"/>
    </row>
    <row r="823" spans="1:4" ht="15.75" thickBot="1" x14ac:dyDescent="0.3">
      <c r="A823" s="82" t="s">
        <v>1374</v>
      </c>
      <c r="B823" s="83" t="s">
        <v>544</v>
      </c>
      <c r="C823" s="84">
        <v>0</v>
      </c>
      <c r="D823" s="81"/>
    </row>
    <row r="824" spans="1:4" ht="15.75" thickBot="1" x14ac:dyDescent="0.3">
      <c r="A824" s="82" t="s">
        <v>1375</v>
      </c>
      <c r="B824" s="83" t="s">
        <v>544</v>
      </c>
      <c r="C824" s="84">
        <v>1</v>
      </c>
      <c r="D824" s="81"/>
    </row>
    <row r="825" spans="1:4" ht="15.75" thickBot="1" x14ac:dyDescent="0.3">
      <c r="A825" s="82" t="s">
        <v>1376</v>
      </c>
      <c r="B825" s="83" t="s">
        <v>544</v>
      </c>
      <c r="C825" s="84">
        <v>0</v>
      </c>
      <c r="D825" s="81"/>
    </row>
    <row r="826" spans="1:4" ht="15.75" thickBot="1" x14ac:dyDescent="0.3">
      <c r="A826" s="82" t="s">
        <v>1377</v>
      </c>
      <c r="B826" s="83" t="s">
        <v>546</v>
      </c>
      <c r="C826" s="84">
        <v>0</v>
      </c>
      <c r="D826" s="81"/>
    </row>
    <row r="827" spans="1:4" ht="15.75" thickBot="1" x14ac:dyDescent="0.3">
      <c r="A827" s="82" t="s">
        <v>1378</v>
      </c>
      <c r="B827" s="83" t="s">
        <v>296</v>
      </c>
      <c r="C827" s="84">
        <v>0</v>
      </c>
      <c r="D827" s="81"/>
    </row>
    <row r="828" spans="1:4" ht="15.75" thickBot="1" x14ac:dyDescent="0.3">
      <c r="A828" s="82" t="s">
        <v>1379</v>
      </c>
      <c r="B828" s="83" t="s">
        <v>546</v>
      </c>
      <c r="C828" s="84">
        <v>0</v>
      </c>
      <c r="D828" s="81"/>
    </row>
    <row r="829" spans="1:4" ht="15.75" thickBot="1" x14ac:dyDescent="0.3">
      <c r="A829" s="82" t="s">
        <v>1380</v>
      </c>
      <c r="B829" s="83" t="s">
        <v>596</v>
      </c>
      <c r="C829" s="84">
        <v>0</v>
      </c>
      <c r="D829" s="81"/>
    </row>
    <row r="830" spans="1:4" ht="15.75" thickBot="1" x14ac:dyDescent="0.3">
      <c r="A830" s="82" t="s">
        <v>1381</v>
      </c>
      <c r="B830" s="83" t="s">
        <v>296</v>
      </c>
      <c r="C830" s="84">
        <v>1</v>
      </c>
      <c r="D830" s="81"/>
    </row>
    <row r="831" spans="1:4" ht="15.75" thickBot="1" x14ac:dyDescent="0.3">
      <c r="A831" s="82" t="s">
        <v>1382</v>
      </c>
      <c r="B831" s="83" t="s">
        <v>546</v>
      </c>
      <c r="C831" s="84">
        <v>0</v>
      </c>
      <c r="D831" s="81"/>
    </row>
    <row r="832" spans="1:4" ht="15.75" thickBot="1" x14ac:dyDescent="0.3">
      <c r="A832" s="82" t="s">
        <v>1383</v>
      </c>
      <c r="B832" s="83" t="s">
        <v>596</v>
      </c>
      <c r="C832" s="84">
        <v>0</v>
      </c>
      <c r="D832" s="81"/>
    </row>
    <row r="833" spans="1:4" ht="15.75" thickBot="1" x14ac:dyDescent="0.3">
      <c r="A833" s="82" t="s">
        <v>1384</v>
      </c>
      <c r="B833" s="83" t="s">
        <v>296</v>
      </c>
      <c r="C833" s="84">
        <v>0</v>
      </c>
      <c r="D833" s="81"/>
    </row>
    <row r="834" spans="1:4" ht="15.75" thickBot="1" x14ac:dyDescent="0.3">
      <c r="A834" s="82" t="s">
        <v>1385</v>
      </c>
      <c r="B834" s="83" t="s">
        <v>546</v>
      </c>
      <c r="C834" s="84">
        <v>0</v>
      </c>
      <c r="D834" s="81"/>
    </row>
    <row r="835" spans="1:4" ht="15.75" thickBot="1" x14ac:dyDescent="0.3">
      <c r="A835" s="82" t="s">
        <v>1386</v>
      </c>
      <c r="B835" s="83" t="s">
        <v>296</v>
      </c>
      <c r="C835" s="84">
        <v>0</v>
      </c>
      <c r="D835" s="81"/>
    </row>
    <row r="836" spans="1:4" ht="15.75" thickBot="1" x14ac:dyDescent="0.3">
      <c r="A836" s="82" t="s">
        <v>1387</v>
      </c>
      <c r="B836" s="83" t="s">
        <v>544</v>
      </c>
      <c r="C836" s="84">
        <v>0</v>
      </c>
      <c r="D836" s="81"/>
    </row>
    <row r="837" spans="1:4" ht="15.75" thickBot="1" x14ac:dyDescent="0.3">
      <c r="A837" s="82" t="s">
        <v>1388</v>
      </c>
      <c r="B837" s="83" t="s">
        <v>544</v>
      </c>
      <c r="C837" s="84">
        <v>1</v>
      </c>
      <c r="D837" s="81"/>
    </row>
    <row r="838" spans="1:4" ht="15.75" thickBot="1" x14ac:dyDescent="0.3">
      <c r="A838" s="82" t="s">
        <v>1389</v>
      </c>
      <c r="B838" s="83" t="s">
        <v>589</v>
      </c>
      <c r="C838" s="84">
        <v>0</v>
      </c>
      <c r="D838" s="81"/>
    </row>
    <row r="839" spans="1:4" ht="15.75" thickBot="1" x14ac:dyDescent="0.3">
      <c r="A839" s="82" t="s">
        <v>1390</v>
      </c>
      <c r="B839" s="83" t="s">
        <v>589</v>
      </c>
      <c r="C839" s="84">
        <v>0</v>
      </c>
      <c r="D839" s="81"/>
    </row>
    <row r="840" spans="1:4" ht="15.75" thickBot="1" x14ac:dyDescent="0.3">
      <c r="A840" s="82" t="s">
        <v>1391</v>
      </c>
      <c r="B840" s="83" t="s">
        <v>546</v>
      </c>
      <c r="C840" s="84">
        <v>0</v>
      </c>
      <c r="D840" s="81"/>
    </row>
    <row r="841" spans="1:4" ht="15.75" thickBot="1" x14ac:dyDescent="0.3">
      <c r="A841" s="82" t="s">
        <v>1392</v>
      </c>
      <c r="B841" s="83" t="s">
        <v>296</v>
      </c>
      <c r="C841" s="85">
        <v>24</v>
      </c>
      <c r="D841" s="81"/>
    </row>
    <row r="842" spans="1:4" ht="15.75" thickBot="1" x14ac:dyDescent="0.3">
      <c r="A842" s="82" t="s">
        <v>1393</v>
      </c>
      <c r="B842" s="83" t="s">
        <v>509</v>
      </c>
      <c r="C842" s="85">
        <v>13</v>
      </c>
      <c r="D842" s="81"/>
    </row>
    <row r="843" spans="1:4" ht="15.75" thickBot="1" x14ac:dyDescent="0.3">
      <c r="A843" s="82" t="s">
        <v>1394</v>
      </c>
      <c r="B843" s="83" t="s">
        <v>511</v>
      </c>
      <c r="C843" s="84">
        <v>0</v>
      </c>
      <c r="D843" s="81"/>
    </row>
    <row r="844" spans="1:4" ht="15.75" thickBot="1" x14ac:dyDescent="0.3">
      <c r="A844" s="82" t="s">
        <v>1395</v>
      </c>
      <c r="B844" s="83" t="s">
        <v>459</v>
      </c>
      <c r="C844" s="84">
        <v>0</v>
      </c>
      <c r="D844" s="81"/>
    </row>
    <row r="845" spans="1:4" ht="15.75" thickBot="1" x14ac:dyDescent="0.3">
      <c r="A845" s="82" t="s">
        <v>1396</v>
      </c>
      <c r="B845" s="83" t="s">
        <v>544</v>
      </c>
      <c r="C845" s="84">
        <v>0</v>
      </c>
      <c r="D845" s="81"/>
    </row>
    <row r="846" spans="1:4" ht="15.75" thickBot="1" x14ac:dyDescent="0.3">
      <c r="A846" s="82" t="s">
        <v>1397</v>
      </c>
      <c r="B846" s="83" t="s">
        <v>296</v>
      </c>
      <c r="C846" s="84">
        <v>0</v>
      </c>
      <c r="D846" s="81"/>
    </row>
    <row r="847" spans="1:4" ht="15.75" thickBot="1" x14ac:dyDescent="0.3">
      <c r="A847" s="82" t="s">
        <v>1398</v>
      </c>
      <c r="B847" s="83" t="s">
        <v>544</v>
      </c>
      <c r="C847" s="84">
        <v>0</v>
      </c>
      <c r="D847" s="81"/>
    </row>
    <row r="848" spans="1:4" ht="15.75" thickBot="1" x14ac:dyDescent="0.3">
      <c r="A848" s="82" t="s">
        <v>1399</v>
      </c>
      <c r="B848" s="83" t="s">
        <v>544</v>
      </c>
      <c r="C848" s="84">
        <v>0</v>
      </c>
      <c r="D848" s="81"/>
    </row>
    <row r="849" spans="1:4" ht="15.75" thickBot="1" x14ac:dyDescent="0.3">
      <c r="A849" s="82" t="s">
        <v>1400</v>
      </c>
      <c r="B849" s="83" t="s">
        <v>1401</v>
      </c>
      <c r="C849" s="84">
        <v>0</v>
      </c>
      <c r="D849" s="81"/>
    </row>
    <row r="850" spans="1:4" ht="15.75" thickBot="1" x14ac:dyDescent="0.3">
      <c r="A850" s="82" t="s">
        <v>1402</v>
      </c>
      <c r="B850" s="83" t="s">
        <v>596</v>
      </c>
      <c r="C850" s="85">
        <v>8</v>
      </c>
      <c r="D850" s="81"/>
    </row>
    <row r="851" spans="1:4" ht="15.75" thickBot="1" x14ac:dyDescent="0.3">
      <c r="A851" s="82" t="s">
        <v>1403</v>
      </c>
      <c r="B851" s="83" t="s">
        <v>596</v>
      </c>
      <c r="C851" s="84">
        <v>0</v>
      </c>
      <c r="D851" s="81"/>
    </row>
    <row r="852" spans="1:4" ht="15.75" thickBot="1" x14ac:dyDescent="0.3">
      <c r="A852" s="82" t="s">
        <v>1404</v>
      </c>
      <c r="B852" s="83" t="s">
        <v>296</v>
      </c>
      <c r="C852" s="85">
        <v>6</v>
      </c>
      <c r="D852" s="81"/>
    </row>
    <row r="853" spans="1:4" ht="15.75" thickBot="1" x14ac:dyDescent="0.3">
      <c r="A853" s="82" t="s">
        <v>1405</v>
      </c>
      <c r="B853" s="83" t="s">
        <v>296</v>
      </c>
      <c r="C853" s="85">
        <v>11</v>
      </c>
      <c r="D853" s="81"/>
    </row>
    <row r="854" spans="1:4" ht="15.75" thickBot="1" x14ac:dyDescent="0.3">
      <c r="A854" s="82" t="s">
        <v>1406</v>
      </c>
      <c r="B854" s="83" t="s">
        <v>296</v>
      </c>
      <c r="C854" s="84">
        <v>0</v>
      </c>
      <c r="D854" s="81"/>
    </row>
    <row r="855" spans="1:4" ht="15.75" thickBot="1" x14ac:dyDescent="0.3">
      <c r="A855" s="82" t="s">
        <v>1407</v>
      </c>
      <c r="B855" s="83" t="s">
        <v>296</v>
      </c>
      <c r="C855" s="85">
        <v>9</v>
      </c>
      <c r="D855" s="81"/>
    </row>
    <row r="856" spans="1:4" ht="15.75" thickBot="1" x14ac:dyDescent="0.3">
      <c r="A856" s="82" t="s">
        <v>1408</v>
      </c>
      <c r="B856" s="83" t="s">
        <v>544</v>
      </c>
      <c r="C856" s="84">
        <v>0</v>
      </c>
      <c r="D856" s="81"/>
    </row>
    <row r="857" spans="1:4" ht="15.75" thickBot="1" x14ac:dyDescent="0.3">
      <c r="A857" s="82" t="s">
        <v>1409</v>
      </c>
      <c r="B857" s="83" t="s">
        <v>1153</v>
      </c>
      <c r="C857" s="84">
        <v>0</v>
      </c>
      <c r="D857" s="81"/>
    </row>
    <row r="858" spans="1:4" ht="15.75" thickBot="1" x14ac:dyDescent="0.3">
      <c r="A858" s="82" t="s">
        <v>1410</v>
      </c>
      <c r="B858" s="83" t="s">
        <v>296</v>
      </c>
      <c r="C858" s="84">
        <v>0</v>
      </c>
      <c r="D858" s="81"/>
    </row>
    <row r="859" spans="1:4" ht="15.75" thickBot="1" x14ac:dyDescent="0.3">
      <c r="A859" s="82" t="s">
        <v>1411</v>
      </c>
      <c r="B859" s="83" t="s">
        <v>296</v>
      </c>
      <c r="C859" s="84">
        <v>0</v>
      </c>
      <c r="D859" s="81"/>
    </row>
    <row r="860" spans="1:4" ht="15.75" thickBot="1" x14ac:dyDescent="0.3">
      <c r="A860" s="82" t="s">
        <v>1412</v>
      </c>
      <c r="B860" s="83" t="s">
        <v>296</v>
      </c>
      <c r="C860" s="85">
        <v>17</v>
      </c>
      <c r="D860" s="81"/>
    </row>
    <row r="861" spans="1:4" ht="15.75" thickBot="1" x14ac:dyDescent="0.3">
      <c r="A861" s="82" t="s">
        <v>1413</v>
      </c>
      <c r="B861" s="84">
        <v>0.875</v>
      </c>
      <c r="C861" s="84">
        <v>0</v>
      </c>
      <c r="D861" s="81"/>
    </row>
    <row r="862" spans="1:4" ht="15.75" thickBot="1" x14ac:dyDescent="0.3">
      <c r="A862" s="82" t="s">
        <v>1414</v>
      </c>
      <c r="B862" s="83" t="s">
        <v>296</v>
      </c>
      <c r="C862" s="84">
        <v>0</v>
      </c>
      <c r="D862" s="81"/>
    </row>
    <row r="863" spans="1:4" ht="15.75" thickBot="1" x14ac:dyDescent="0.3">
      <c r="A863" s="82" t="s">
        <v>1415</v>
      </c>
      <c r="B863" s="83" t="s">
        <v>509</v>
      </c>
      <c r="C863" s="84">
        <v>0</v>
      </c>
      <c r="D863" s="81"/>
    </row>
    <row r="864" spans="1:4" ht="15.75" thickBot="1" x14ac:dyDescent="0.3">
      <c r="A864" s="82" t="s">
        <v>1416</v>
      </c>
      <c r="B864" s="83" t="s">
        <v>1417</v>
      </c>
      <c r="C864" s="84">
        <v>0</v>
      </c>
      <c r="D864" s="81"/>
    </row>
    <row r="865" spans="1:4" ht="15.75" thickBot="1" x14ac:dyDescent="0.3">
      <c r="A865" s="82" t="s">
        <v>1418</v>
      </c>
      <c r="B865" s="83" t="s">
        <v>544</v>
      </c>
      <c r="C865" s="84">
        <v>0</v>
      </c>
      <c r="D865" s="81"/>
    </row>
    <row r="866" spans="1:4" ht="15.75" thickBot="1" x14ac:dyDescent="0.3">
      <c r="A866" s="93" t="s">
        <v>1419</v>
      </c>
      <c r="B866" s="83" t="s">
        <v>296</v>
      </c>
      <c r="C866" s="84">
        <v>0</v>
      </c>
      <c r="D866" s="81"/>
    </row>
    <row r="867" spans="1:4" ht="15.75" thickBot="1" x14ac:dyDescent="0.3">
      <c r="A867" s="93" t="s">
        <v>1420</v>
      </c>
      <c r="B867" s="83" t="s">
        <v>509</v>
      </c>
      <c r="C867" s="84">
        <v>0</v>
      </c>
      <c r="D867" s="81"/>
    </row>
    <row r="868" spans="1:4" ht="15.75" thickBot="1" x14ac:dyDescent="0.3">
      <c r="A868" s="93" t="s">
        <v>1421</v>
      </c>
      <c r="B868" s="83" t="s">
        <v>509</v>
      </c>
      <c r="C868" s="84">
        <v>0</v>
      </c>
      <c r="D868" s="81"/>
    </row>
    <row r="869" spans="1:4" ht="15.75" thickBot="1" x14ac:dyDescent="0.3">
      <c r="A869" s="93" t="s">
        <v>1422</v>
      </c>
      <c r="B869" s="83" t="s">
        <v>439</v>
      </c>
      <c r="C869" s="84">
        <v>0</v>
      </c>
      <c r="D869" s="81"/>
    </row>
    <row r="870" spans="1:4" ht="15.75" thickBot="1" x14ac:dyDescent="0.3">
      <c r="A870" s="93" t="s">
        <v>1423</v>
      </c>
      <c r="B870" s="83" t="s">
        <v>296</v>
      </c>
      <c r="C870" s="86">
        <v>5</v>
      </c>
      <c r="D870" s="81"/>
    </row>
    <row r="871" spans="1:4" ht="15.75" thickBot="1" x14ac:dyDescent="0.3">
      <c r="A871" s="93" t="s">
        <v>1424</v>
      </c>
      <c r="B871" s="83" t="s">
        <v>509</v>
      </c>
      <c r="C871" s="84">
        <v>0</v>
      </c>
      <c r="D871" s="81"/>
    </row>
    <row r="872" spans="1:4" ht="15.75" thickBot="1" x14ac:dyDescent="0.3">
      <c r="A872" s="93" t="s">
        <v>1425</v>
      </c>
      <c r="B872" s="83" t="s">
        <v>439</v>
      </c>
      <c r="C872" s="84">
        <v>0</v>
      </c>
      <c r="D872" s="81"/>
    </row>
    <row r="873" spans="1:4" ht="15.75" thickBot="1" x14ac:dyDescent="0.3">
      <c r="A873" s="93" t="s">
        <v>1426</v>
      </c>
      <c r="B873" s="83" t="s">
        <v>296</v>
      </c>
      <c r="C873" s="84">
        <v>0</v>
      </c>
      <c r="D873" s="81"/>
    </row>
    <row r="874" spans="1:4" ht="15.75" thickBot="1" x14ac:dyDescent="0.3">
      <c r="A874" s="93" t="s">
        <v>1427</v>
      </c>
      <c r="B874" s="83" t="s">
        <v>296</v>
      </c>
      <c r="C874" s="84">
        <v>-1</v>
      </c>
      <c r="D874" s="81"/>
    </row>
    <row r="875" spans="1:4" ht="15.75" thickBot="1" x14ac:dyDescent="0.3">
      <c r="A875" s="93" t="s">
        <v>1428</v>
      </c>
      <c r="B875" s="83" t="s">
        <v>1429</v>
      </c>
      <c r="C875" s="84">
        <v>0</v>
      </c>
      <c r="D875" s="81"/>
    </row>
    <row r="876" spans="1:4" ht="15.75" thickBot="1" x14ac:dyDescent="0.3">
      <c r="A876" s="93" t="s">
        <v>1430</v>
      </c>
      <c r="B876" s="83" t="s">
        <v>296</v>
      </c>
      <c r="C876" s="84">
        <v>0</v>
      </c>
      <c r="D876" s="81"/>
    </row>
    <row r="877" spans="1:4" ht="15.75" thickBot="1" x14ac:dyDescent="0.3">
      <c r="A877" s="93" t="s">
        <v>1431</v>
      </c>
      <c r="B877" s="83" t="s">
        <v>296</v>
      </c>
      <c r="C877" s="84">
        <v>0</v>
      </c>
      <c r="D877" s="81"/>
    </row>
    <row r="878" spans="1:4" ht="15.75" thickBot="1" x14ac:dyDescent="0.3">
      <c r="A878" s="93" t="s">
        <v>1432</v>
      </c>
      <c r="B878" s="83" t="s">
        <v>759</v>
      </c>
      <c r="C878" s="84">
        <v>0</v>
      </c>
      <c r="D878" s="81"/>
    </row>
    <row r="879" spans="1:4" ht="15.75" thickBot="1" x14ac:dyDescent="0.3">
      <c r="A879" s="93" t="s">
        <v>1433</v>
      </c>
      <c r="B879" s="83" t="s">
        <v>761</v>
      </c>
      <c r="C879" s="84">
        <v>0</v>
      </c>
      <c r="D879" s="81"/>
    </row>
    <row r="880" spans="1:4" ht="15.75" thickBot="1" x14ac:dyDescent="0.3">
      <c r="A880" s="93" t="s">
        <v>1434</v>
      </c>
      <c r="B880" s="83" t="s">
        <v>546</v>
      </c>
      <c r="C880" s="84">
        <v>0</v>
      </c>
      <c r="D880" s="81"/>
    </row>
    <row r="881" spans="1:4" ht="15.75" thickBot="1" x14ac:dyDescent="0.3">
      <c r="A881" s="93" t="s">
        <v>1435</v>
      </c>
      <c r="B881" s="83" t="s">
        <v>494</v>
      </c>
      <c r="C881" s="84">
        <v>0</v>
      </c>
      <c r="D881" s="81"/>
    </row>
    <row r="882" spans="1:4" ht="15.75" thickBot="1" x14ac:dyDescent="0.3">
      <c r="A882" s="93" t="s">
        <v>1436</v>
      </c>
      <c r="B882" s="83" t="s">
        <v>494</v>
      </c>
      <c r="C882" s="84">
        <v>0</v>
      </c>
      <c r="D882" s="81"/>
    </row>
    <row r="883" spans="1:4" ht="15.75" thickBot="1" x14ac:dyDescent="0.3">
      <c r="A883" s="93" t="s">
        <v>1437</v>
      </c>
      <c r="B883" s="83" t="s">
        <v>494</v>
      </c>
      <c r="C883" s="84">
        <v>0</v>
      </c>
      <c r="D883" s="81"/>
    </row>
    <row r="884" spans="1:4" ht="15.75" thickBot="1" x14ac:dyDescent="0.3">
      <c r="A884" s="93" t="s">
        <v>1438</v>
      </c>
      <c r="B884" s="83" t="s">
        <v>494</v>
      </c>
      <c r="C884" s="84">
        <v>0</v>
      </c>
      <c r="D884" s="81"/>
    </row>
    <row r="885" spans="1:4" ht="15.75" thickBot="1" x14ac:dyDescent="0.3">
      <c r="A885" s="93" t="s">
        <v>1439</v>
      </c>
      <c r="B885" s="83" t="s">
        <v>494</v>
      </c>
      <c r="C885" s="84">
        <v>0</v>
      </c>
      <c r="D885" s="81"/>
    </row>
    <row r="886" spans="1:4" ht="15.75" thickBot="1" x14ac:dyDescent="0.3">
      <c r="A886" s="93" t="s">
        <v>1440</v>
      </c>
      <c r="B886" s="83" t="s">
        <v>494</v>
      </c>
      <c r="C886" s="84">
        <v>0</v>
      </c>
      <c r="D886" s="81"/>
    </row>
    <row r="887" spans="1:4" ht="15.75" thickBot="1" x14ac:dyDescent="0.3">
      <c r="A887" s="93" t="s">
        <v>1441</v>
      </c>
      <c r="B887" s="83" t="s">
        <v>494</v>
      </c>
      <c r="C887" s="84">
        <v>0</v>
      </c>
      <c r="D887" s="81"/>
    </row>
    <row r="888" spans="1:4" ht="15.75" thickBot="1" x14ac:dyDescent="0.3">
      <c r="A888" s="93" t="s">
        <v>1442</v>
      </c>
      <c r="B888" s="83" t="s">
        <v>494</v>
      </c>
      <c r="C888" s="84">
        <v>0</v>
      </c>
      <c r="D888" s="81"/>
    </row>
    <row r="889" spans="1:4" ht="15.75" thickBot="1" x14ac:dyDescent="0.3">
      <c r="A889" s="93" t="s">
        <v>1443</v>
      </c>
      <c r="B889" s="83" t="s">
        <v>494</v>
      </c>
      <c r="C889" s="84">
        <v>0</v>
      </c>
      <c r="D889" s="81"/>
    </row>
    <row r="890" spans="1:4" ht="15.75" thickBot="1" x14ac:dyDescent="0.3">
      <c r="A890" s="93" t="s">
        <v>1444</v>
      </c>
      <c r="B890" s="83" t="s">
        <v>494</v>
      </c>
      <c r="C890" s="84">
        <v>0</v>
      </c>
      <c r="D890" s="81"/>
    </row>
    <row r="891" spans="1:4" ht="15.75" thickBot="1" x14ac:dyDescent="0.3">
      <c r="A891" s="93" t="s">
        <v>1445</v>
      </c>
      <c r="B891" s="83" t="s">
        <v>494</v>
      </c>
      <c r="C891" s="84">
        <v>0</v>
      </c>
      <c r="D891" s="81"/>
    </row>
    <row r="892" spans="1:4" ht="15.75" thickBot="1" x14ac:dyDescent="0.3">
      <c r="A892" s="93" t="s">
        <v>1446</v>
      </c>
      <c r="B892" s="83" t="s">
        <v>494</v>
      </c>
      <c r="C892" s="84">
        <v>0</v>
      </c>
      <c r="D892" s="81"/>
    </row>
    <row r="893" spans="1:4" ht="15.75" thickBot="1" x14ac:dyDescent="0.3">
      <c r="A893" s="93" t="s">
        <v>1447</v>
      </c>
      <c r="B893" s="83" t="s">
        <v>494</v>
      </c>
      <c r="C893" s="84">
        <v>0</v>
      </c>
      <c r="D893" s="81"/>
    </row>
    <row r="894" spans="1:4" ht="15.75" thickBot="1" x14ac:dyDescent="0.3">
      <c r="A894" s="93" t="s">
        <v>1448</v>
      </c>
      <c r="B894" s="83" t="s">
        <v>494</v>
      </c>
      <c r="C894" s="84">
        <v>0</v>
      </c>
      <c r="D894" s="81"/>
    </row>
    <row r="895" spans="1:4" ht="15.75" thickBot="1" x14ac:dyDescent="0.3">
      <c r="A895" s="93" t="s">
        <v>1449</v>
      </c>
      <c r="B895" s="83" t="s">
        <v>494</v>
      </c>
      <c r="C895" s="84">
        <v>0</v>
      </c>
      <c r="D895" s="81"/>
    </row>
    <row r="896" spans="1:4" ht="15.75" thickBot="1" x14ac:dyDescent="0.3">
      <c r="A896" s="93" t="s">
        <v>1450</v>
      </c>
      <c r="B896" s="83" t="s">
        <v>494</v>
      </c>
      <c r="C896" s="84">
        <v>0</v>
      </c>
      <c r="D896" s="81"/>
    </row>
    <row r="897" spans="1:4" ht="15.75" thickBot="1" x14ac:dyDescent="0.3">
      <c r="A897" s="93" t="s">
        <v>1451</v>
      </c>
      <c r="B897" s="83" t="s">
        <v>544</v>
      </c>
      <c r="C897" s="84">
        <v>0</v>
      </c>
      <c r="D897" s="81"/>
    </row>
    <row r="898" spans="1:4" ht="15.75" thickBot="1" x14ac:dyDescent="0.3">
      <c r="A898" s="93" t="s">
        <v>1452</v>
      </c>
      <c r="B898" s="83" t="s">
        <v>494</v>
      </c>
      <c r="C898" s="84">
        <v>0</v>
      </c>
      <c r="D898" s="81"/>
    </row>
    <row r="899" spans="1:4" ht="15.75" thickBot="1" x14ac:dyDescent="0.3">
      <c r="A899" s="93" t="s">
        <v>1453</v>
      </c>
      <c r="B899" s="83" t="s">
        <v>494</v>
      </c>
      <c r="C899" s="84">
        <v>0</v>
      </c>
      <c r="D899" s="81"/>
    </row>
    <row r="900" spans="1:4" ht="15.75" thickBot="1" x14ac:dyDescent="0.3">
      <c r="A900" s="93" t="s">
        <v>1454</v>
      </c>
      <c r="B900" s="83" t="s">
        <v>494</v>
      </c>
      <c r="C900" s="84">
        <v>0</v>
      </c>
      <c r="D900" s="81"/>
    </row>
    <row r="901" spans="1:4" ht="15.75" thickBot="1" x14ac:dyDescent="0.3">
      <c r="A901" s="93" t="s">
        <v>1455</v>
      </c>
      <c r="B901" s="83" t="s">
        <v>494</v>
      </c>
      <c r="C901" s="84">
        <v>0</v>
      </c>
      <c r="D901" s="81"/>
    </row>
    <row r="902" spans="1:4" ht="15.75" thickBot="1" x14ac:dyDescent="0.3">
      <c r="A902" s="93" t="s">
        <v>1456</v>
      </c>
      <c r="B902" s="83" t="s">
        <v>494</v>
      </c>
      <c r="C902" s="84">
        <v>0</v>
      </c>
      <c r="D902" s="81"/>
    </row>
    <row r="903" spans="1:4" ht="15.75" thickBot="1" x14ac:dyDescent="0.3">
      <c r="A903" s="93" t="s">
        <v>1457</v>
      </c>
      <c r="B903" s="83" t="s">
        <v>494</v>
      </c>
      <c r="C903" s="84">
        <v>0</v>
      </c>
      <c r="D903" s="81"/>
    </row>
    <row r="904" spans="1:4" ht="15.75" thickBot="1" x14ac:dyDescent="0.3">
      <c r="A904" s="93" t="s">
        <v>1458</v>
      </c>
      <c r="B904" s="83" t="s">
        <v>494</v>
      </c>
      <c r="C904" s="84">
        <v>0</v>
      </c>
      <c r="D904" s="81"/>
    </row>
    <row r="905" spans="1:4" ht="15.75" thickBot="1" x14ac:dyDescent="0.3">
      <c r="A905" s="93" t="s">
        <v>1459</v>
      </c>
      <c r="B905" s="83" t="s">
        <v>494</v>
      </c>
      <c r="C905" s="84">
        <v>0</v>
      </c>
      <c r="D905" s="81"/>
    </row>
    <row r="906" spans="1:4" ht="15.75" thickBot="1" x14ac:dyDescent="0.3">
      <c r="A906" s="93" t="s">
        <v>1460</v>
      </c>
      <c r="B906" s="83" t="s">
        <v>494</v>
      </c>
      <c r="C906" s="84">
        <v>0</v>
      </c>
      <c r="D906" s="81"/>
    </row>
    <row r="907" spans="1:4" ht="15.75" thickBot="1" x14ac:dyDescent="0.3">
      <c r="A907" s="93" t="s">
        <v>1461</v>
      </c>
      <c r="B907" s="83" t="s">
        <v>494</v>
      </c>
      <c r="C907" s="84">
        <v>0</v>
      </c>
      <c r="D907" s="81"/>
    </row>
    <row r="908" spans="1:4" ht="15.75" thickBot="1" x14ac:dyDescent="0.3">
      <c r="A908" s="93" t="s">
        <v>1462</v>
      </c>
      <c r="B908" s="83" t="s">
        <v>494</v>
      </c>
      <c r="C908" s="84">
        <v>0</v>
      </c>
      <c r="D908" s="81"/>
    </row>
    <row r="909" spans="1:4" ht="15.75" thickBot="1" x14ac:dyDescent="0.3">
      <c r="A909" s="93" t="s">
        <v>1463</v>
      </c>
      <c r="B909" s="83" t="s">
        <v>494</v>
      </c>
      <c r="C909" s="84">
        <v>0</v>
      </c>
      <c r="D909" s="81"/>
    </row>
    <row r="910" spans="1:4" ht="15.75" thickBot="1" x14ac:dyDescent="0.3">
      <c r="A910" s="93" t="s">
        <v>1464</v>
      </c>
      <c r="B910" s="83" t="s">
        <v>494</v>
      </c>
      <c r="C910" s="84">
        <v>0</v>
      </c>
      <c r="D910" s="81"/>
    </row>
    <row r="911" spans="1:4" ht="15.75" thickBot="1" x14ac:dyDescent="0.3">
      <c r="A911" s="93" t="s">
        <v>1465</v>
      </c>
      <c r="B911" s="83" t="s">
        <v>494</v>
      </c>
      <c r="C911" s="84">
        <v>0</v>
      </c>
      <c r="D911" s="81"/>
    </row>
    <row r="912" spans="1:4" ht="15.75" thickBot="1" x14ac:dyDescent="0.3">
      <c r="A912" s="93" t="s">
        <v>1466</v>
      </c>
      <c r="B912" s="83" t="s">
        <v>494</v>
      </c>
      <c r="C912" s="84">
        <v>0</v>
      </c>
      <c r="D912" s="81"/>
    </row>
    <row r="913" spans="1:4" ht="15.75" thickBot="1" x14ac:dyDescent="0.3">
      <c r="A913" s="93" t="s">
        <v>1467</v>
      </c>
      <c r="B913" s="83" t="s">
        <v>494</v>
      </c>
      <c r="C913" s="84">
        <v>0</v>
      </c>
      <c r="D913" s="81"/>
    </row>
    <row r="914" spans="1:4" ht="15.75" thickBot="1" x14ac:dyDescent="0.3">
      <c r="A914" s="93" t="s">
        <v>1468</v>
      </c>
      <c r="B914" s="83" t="s">
        <v>296</v>
      </c>
      <c r="C914" s="84">
        <v>1</v>
      </c>
      <c r="D914" s="81"/>
    </row>
    <row r="915" spans="1:4" ht="15.75" thickBot="1" x14ac:dyDescent="0.3">
      <c r="A915" s="93" t="s">
        <v>1469</v>
      </c>
      <c r="B915" s="83" t="s">
        <v>509</v>
      </c>
      <c r="C915" s="84">
        <v>1</v>
      </c>
      <c r="D915" s="81"/>
    </row>
    <row r="916" spans="1:4" ht="15.75" thickBot="1" x14ac:dyDescent="0.3">
      <c r="A916" s="93" t="s">
        <v>1470</v>
      </c>
      <c r="B916" s="83" t="s">
        <v>511</v>
      </c>
      <c r="C916" s="84">
        <v>0</v>
      </c>
      <c r="D916" s="81"/>
    </row>
    <row r="917" spans="1:4" ht="15.75" thickBot="1" x14ac:dyDescent="0.3">
      <c r="A917" s="93" t="s">
        <v>1471</v>
      </c>
      <c r="B917" s="83" t="s">
        <v>439</v>
      </c>
      <c r="C917" s="84">
        <v>0</v>
      </c>
      <c r="D917" s="81"/>
    </row>
    <row r="918" spans="1:4" ht="15.75" thickBot="1" x14ac:dyDescent="0.3">
      <c r="A918" s="93" t="s">
        <v>1472</v>
      </c>
      <c r="B918" s="83" t="s">
        <v>296</v>
      </c>
      <c r="C918" s="84">
        <v>0</v>
      </c>
      <c r="D918" s="81"/>
    </row>
    <row r="919" spans="1:4" ht="15.75" thickBot="1" x14ac:dyDescent="0.3">
      <c r="A919" s="93" t="s">
        <v>1473</v>
      </c>
      <c r="B919" s="83" t="s">
        <v>509</v>
      </c>
      <c r="C919" s="84">
        <v>0</v>
      </c>
      <c r="D919" s="81"/>
    </row>
    <row r="920" spans="1:4" ht="15.75" thickBot="1" x14ac:dyDescent="0.3">
      <c r="A920" s="93" t="s">
        <v>1474</v>
      </c>
      <c r="B920" s="83" t="s">
        <v>511</v>
      </c>
      <c r="C920" s="84">
        <v>0</v>
      </c>
      <c r="D920" s="81"/>
    </row>
    <row r="921" spans="1:4" ht="15.75" thickBot="1" x14ac:dyDescent="0.3">
      <c r="A921" s="93" t="s">
        <v>1475</v>
      </c>
      <c r="B921" s="83" t="s">
        <v>439</v>
      </c>
      <c r="C921" s="84">
        <v>0</v>
      </c>
      <c r="D921" s="81"/>
    </row>
    <row r="922" spans="1:4" ht="15.75" thickBot="1" x14ac:dyDescent="0.3">
      <c r="A922" s="93" t="s">
        <v>1476</v>
      </c>
      <c r="B922" s="83" t="s">
        <v>296</v>
      </c>
      <c r="C922" s="84">
        <v>0</v>
      </c>
      <c r="D922" s="81"/>
    </row>
    <row r="923" spans="1:4" ht="15.75" thickBot="1" x14ac:dyDescent="0.3">
      <c r="A923" s="93" t="s">
        <v>1477</v>
      </c>
      <c r="B923" s="83" t="s">
        <v>509</v>
      </c>
      <c r="C923" s="84">
        <v>0</v>
      </c>
      <c r="D923" s="81"/>
    </row>
    <row r="924" spans="1:4" ht="15.75" thickBot="1" x14ac:dyDescent="0.3">
      <c r="A924" s="93" t="s">
        <v>1478</v>
      </c>
      <c r="B924" s="83" t="s">
        <v>511</v>
      </c>
      <c r="C924" s="84">
        <v>0</v>
      </c>
      <c r="D924" s="81"/>
    </row>
    <row r="925" spans="1:4" ht="15.75" thickBot="1" x14ac:dyDescent="0.3">
      <c r="A925" s="93" t="s">
        <v>1479</v>
      </c>
      <c r="B925" s="83" t="s">
        <v>439</v>
      </c>
      <c r="C925" s="84">
        <v>0</v>
      </c>
      <c r="D925" s="81"/>
    </row>
    <row r="926" spans="1:4" ht="15.75" thickBot="1" x14ac:dyDescent="0.3">
      <c r="A926" s="93" t="s">
        <v>1480</v>
      </c>
      <c r="B926" s="83" t="s">
        <v>296</v>
      </c>
      <c r="C926" s="84">
        <v>0</v>
      </c>
      <c r="D926" s="81"/>
    </row>
    <row r="927" spans="1:4" ht="15.75" thickBot="1" x14ac:dyDescent="0.3">
      <c r="A927" s="93" t="s">
        <v>1481</v>
      </c>
      <c r="B927" s="83" t="s">
        <v>509</v>
      </c>
      <c r="C927" s="84">
        <v>0</v>
      </c>
      <c r="D927" s="81"/>
    </row>
    <row r="928" spans="1:4" ht="15.75" thickBot="1" x14ac:dyDescent="0.3">
      <c r="A928" s="93" t="s">
        <v>1482</v>
      </c>
      <c r="B928" s="83" t="s">
        <v>511</v>
      </c>
      <c r="C928" s="84">
        <v>0</v>
      </c>
      <c r="D928" s="81"/>
    </row>
    <row r="929" spans="1:4" ht="15.75" thickBot="1" x14ac:dyDescent="0.3">
      <c r="A929" s="93" t="s">
        <v>1483</v>
      </c>
      <c r="B929" s="83" t="s">
        <v>296</v>
      </c>
      <c r="C929" s="84">
        <v>0</v>
      </c>
      <c r="D929" s="81"/>
    </row>
    <row r="930" spans="1:4" ht="15.75" thickBot="1" x14ac:dyDescent="0.3">
      <c r="A930" s="93" t="s">
        <v>1484</v>
      </c>
      <c r="B930" s="83" t="s">
        <v>509</v>
      </c>
      <c r="C930" s="84">
        <v>0</v>
      </c>
      <c r="D930" s="81"/>
    </row>
    <row r="931" spans="1:4" ht="15.75" thickBot="1" x14ac:dyDescent="0.3">
      <c r="A931" s="93" t="s">
        <v>1485</v>
      </c>
      <c r="B931" s="83" t="s">
        <v>511</v>
      </c>
      <c r="C931" s="84">
        <v>0</v>
      </c>
      <c r="D931" s="81"/>
    </row>
    <row r="932" spans="1:4" ht="15.75" thickBot="1" x14ac:dyDescent="0.3">
      <c r="A932" s="93" t="s">
        <v>1486</v>
      </c>
      <c r="B932" s="83" t="s">
        <v>296</v>
      </c>
      <c r="C932" s="84">
        <v>0</v>
      </c>
      <c r="D932" s="81"/>
    </row>
    <row r="933" spans="1:4" ht="15.75" thickBot="1" x14ac:dyDescent="0.3">
      <c r="A933" s="93" t="s">
        <v>1487</v>
      </c>
      <c r="B933" s="83" t="s">
        <v>509</v>
      </c>
      <c r="C933" s="84">
        <v>1</v>
      </c>
      <c r="D933" s="81"/>
    </row>
    <row r="934" spans="1:4" ht="15.75" thickBot="1" x14ac:dyDescent="0.3">
      <c r="A934" s="93" t="s">
        <v>1488</v>
      </c>
      <c r="B934" s="83" t="s">
        <v>511</v>
      </c>
      <c r="C934" s="84">
        <v>0</v>
      </c>
      <c r="D934" s="81"/>
    </row>
    <row r="935" spans="1:4" ht="15.75" thickBot="1" x14ac:dyDescent="0.3">
      <c r="A935" s="93" t="s">
        <v>1489</v>
      </c>
      <c r="B935" s="83" t="s">
        <v>439</v>
      </c>
      <c r="C935" s="84">
        <v>0</v>
      </c>
      <c r="D935" s="81"/>
    </row>
    <row r="936" spans="1:4" ht="15.75" thickBot="1" x14ac:dyDescent="0.3">
      <c r="A936" s="93" t="s">
        <v>1490</v>
      </c>
      <c r="B936" s="83" t="s">
        <v>494</v>
      </c>
      <c r="C936" s="84">
        <v>0</v>
      </c>
      <c r="D936" s="81"/>
    </row>
    <row r="937" spans="1:4" ht="15.75" thickBot="1" x14ac:dyDescent="0.3">
      <c r="A937" s="93" t="s">
        <v>1491</v>
      </c>
      <c r="B937" s="83" t="s">
        <v>494</v>
      </c>
      <c r="C937" s="84">
        <v>0</v>
      </c>
      <c r="D937" s="81"/>
    </row>
    <row r="938" spans="1:4" ht="15.75" thickBot="1" x14ac:dyDescent="0.3">
      <c r="A938" s="93" t="s">
        <v>1492</v>
      </c>
      <c r="B938" s="83" t="s">
        <v>494</v>
      </c>
      <c r="C938" s="84">
        <v>0</v>
      </c>
      <c r="D938" s="81"/>
    </row>
    <row r="939" spans="1:4" ht="15.75" thickBot="1" x14ac:dyDescent="0.3">
      <c r="A939" s="93" t="s">
        <v>1493</v>
      </c>
      <c r="B939" s="83" t="s">
        <v>459</v>
      </c>
      <c r="C939" s="85">
        <v>70</v>
      </c>
      <c r="D939" s="81"/>
    </row>
    <row r="940" spans="1:4" ht="15.75" thickBot="1" x14ac:dyDescent="0.3">
      <c r="A940" s="93" t="s">
        <v>1494</v>
      </c>
      <c r="B940" s="83" t="s">
        <v>677</v>
      </c>
      <c r="C940" s="84">
        <v>0</v>
      </c>
      <c r="D940" s="81"/>
    </row>
    <row r="941" spans="1:4" ht="15.75" thickBot="1" x14ac:dyDescent="0.3">
      <c r="A941" s="93" t="s">
        <v>1495</v>
      </c>
      <c r="B941" s="83" t="s">
        <v>544</v>
      </c>
      <c r="C941" s="84">
        <v>0</v>
      </c>
      <c r="D941" s="81"/>
    </row>
    <row r="942" spans="1:4" ht="15.75" thickBot="1" x14ac:dyDescent="0.3">
      <c r="A942" s="93" t="s">
        <v>1496</v>
      </c>
      <c r="B942" s="83" t="s">
        <v>544</v>
      </c>
      <c r="C942" s="85">
        <v>18</v>
      </c>
      <c r="D942" s="81"/>
    </row>
    <row r="943" spans="1:4" ht="15.75" thickBot="1" x14ac:dyDescent="0.3">
      <c r="A943" s="93" t="s">
        <v>1497</v>
      </c>
      <c r="B943" s="83" t="s">
        <v>296</v>
      </c>
      <c r="C943" s="85">
        <v>19</v>
      </c>
      <c r="D943" s="81"/>
    </row>
    <row r="944" spans="1:4" ht="15.75" thickBot="1" x14ac:dyDescent="0.3">
      <c r="A944" s="93" t="s">
        <v>1498</v>
      </c>
      <c r="B944" s="83" t="s">
        <v>1429</v>
      </c>
      <c r="C944" s="85">
        <v>17</v>
      </c>
      <c r="D944" s="81"/>
    </row>
    <row r="945" spans="1:4" ht="15.75" thickBot="1" x14ac:dyDescent="0.3">
      <c r="A945" s="93" t="s">
        <v>1499</v>
      </c>
      <c r="B945" s="83" t="s">
        <v>544</v>
      </c>
      <c r="C945" s="84">
        <v>0</v>
      </c>
      <c r="D945" s="81"/>
    </row>
    <row r="946" spans="1:4" ht="15.75" thickBot="1" x14ac:dyDescent="0.3">
      <c r="A946" s="93" t="s">
        <v>1500</v>
      </c>
      <c r="B946" s="83" t="s">
        <v>494</v>
      </c>
      <c r="C946" s="84">
        <v>0</v>
      </c>
      <c r="D946" s="81"/>
    </row>
    <row r="947" spans="1:4" ht="15.75" thickBot="1" x14ac:dyDescent="0.3">
      <c r="A947" s="93" t="s">
        <v>1501</v>
      </c>
      <c r="B947" s="83" t="s">
        <v>494</v>
      </c>
      <c r="C947" s="84">
        <v>0</v>
      </c>
      <c r="D947" s="81"/>
    </row>
    <row r="948" spans="1:4" ht="15.75" thickBot="1" x14ac:dyDescent="0.3">
      <c r="A948" s="93" t="s">
        <v>1502</v>
      </c>
      <c r="B948" s="83" t="s">
        <v>494</v>
      </c>
      <c r="C948" s="84">
        <v>0</v>
      </c>
      <c r="D948" s="81"/>
    </row>
    <row r="949" spans="1:4" ht="15.75" thickBot="1" x14ac:dyDescent="0.3">
      <c r="A949" s="93" t="s">
        <v>1503</v>
      </c>
      <c r="B949" s="83" t="s">
        <v>544</v>
      </c>
      <c r="C949" s="84">
        <v>0</v>
      </c>
      <c r="D949" s="81"/>
    </row>
    <row r="950" spans="1:4" ht="15.75" thickBot="1" x14ac:dyDescent="0.3">
      <c r="A950" s="93" t="s">
        <v>1504</v>
      </c>
      <c r="B950" s="83" t="s">
        <v>761</v>
      </c>
      <c r="C950" s="84">
        <v>0</v>
      </c>
      <c r="D950" s="81"/>
    </row>
    <row r="951" spans="1:4" ht="15.75" thickBot="1" x14ac:dyDescent="0.3">
      <c r="A951" s="93" t="s">
        <v>1505</v>
      </c>
      <c r="B951" s="83" t="s">
        <v>1506</v>
      </c>
      <c r="C951" s="84">
        <v>0</v>
      </c>
      <c r="D951" s="81"/>
    </row>
    <row r="952" spans="1:4" ht="15.75" thickBot="1" x14ac:dyDescent="0.3">
      <c r="A952" s="93" t="s">
        <v>1507</v>
      </c>
      <c r="B952" s="83" t="s">
        <v>759</v>
      </c>
      <c r="C952" s="84">
        <v>0</v>
      </c>
      <c r="D952" s="81"/>
    </row>
    <row r="953" spans="1:4" ht="15.75" thickBot="1" x14ac:dyDescent="0.3">
      <c r="A953" s="93" t="s">
        <v>1508</v>
      </c>
      <c r="B953" s="83" t="s">
        <v>761</v>
      </c>
      <c r="C953" s="84">
        <v>0</v>
      </c>
      <c r="D953" s="81"/>
    </row>
    <row r="954" spans="1:4" ht="15.75" thickBot="1" x14ac:dyDescent="0.3">
      <c r="A954" s="93" t="s">
        <v>1509</v>
      </c>
      <c r="B954" s="83" t="s">
        <v>1506</v>
      </c>
      <c r="C954" s="84">
        <v>0</v>
      </c>
      <c r="D954" s="81"/>
    </row>
    <row r="955" spans="1:4" ht="15.75" thickBot="1" x14ac:dyDescent="0.3">
      <c r="A955" s="93" t="s">
        <v>1510</v>
      </c>
      <c r="B955" s="83" t="s">
        <v>759</v>
      </c>
      <c r="C955" s="84">
        <v>0</v>
      </c>
      <c r="D955" s="81"/>
    </row>
    <row r="956" spans="1:4" ht="15.75" thickBot="1" x14ac:dyDescent="0.3">
      <c r="A956" s="93" t="s">
        <v>1511</v>
      </c>
      <c r="B956" s="83" t="s">
        <v>1506</v>
      </c>
      <c r="C956" s="84">
        <v>0</v>
      </c>
      <c r="D956" s="81"/>
    </row>
    <row r="957" spans="1:4" ht="15.75" thickBot="1" x14ac:dyDescent="0.3">
      <c r="A957" s="93" t="s">
        <v>1512</v>
      </c>
      <c r="B957" s="83" t="s">
        <v>759</v>
      </c>
      <c r="C957" s="84">
        <v>0</v>
      </c>
      <c r="D957" s="81"/>
    </row>
    <row r="958" spans="1:4" ht="15.75" thickBot="1" x14ac:dyDescent="0.3">
      <c r="A958" s="93" t="s">
        <v>1513</v>
      </c>
      <c r="B958" s="83" t="s">
        <v>1506</v>
      </c>
      <c r="C958" s="84">
        <v>0</v>
      </c>
      <c r="D958" s="81"/>
    </row>
    <row r="959" spans="1:4" ht="15.75" thickBot="1" x14ac:dyDescent="0.3">
      <c r="A959" s="93" t="s">
        <v>1514</v>
      </c>
      <c r="B959" s="83" t="s">
        <v>759</v>
      </c>
      <c r="C959" s="84">
        <v>0</v>
      </c>
      <c r="D959" s="81"/>
    </row>
    <row r="960" spans="1:4" ht="15.75" thickBot="1" x14ac:dyDescent="0.3">
      <c r="A960" s="93" t="s">
        <v>1515</v>
      </c>
      <c r="B960" s="83" t="s">
        <v>1506</v>
      </c>
      <c r="C960" s="84">
        <v>0</v>
      </c>
      <c r="D960" s="81"/>
    </row>
    <row r="961" spans="1:4" ht="15.75" thickBot="1" x14ac:dyDescent="0.3">
      <c r="A961" s="93" t="s">
        <v>1516</v>
      </c>
      <c r="B961" s="83" t="s">
        <v>759</v>
      </c>
      <c r="C961" s="84">
        <v>0</v>
      </c>
      <c r="D961" s="81"/>
    </row>
    <row r="962" spans="1:4" ht="15.75" thickBot="1" x14ac:dyDescent="0.3">
      <c r="A962" s="93" t="s">
        <v>1517</v>
      </c>
      <c r="B962" s="83" t="s">
        <v>761</v>
      </c>
      <c r="C962" s="84">
        <v>0</v>
      </c>
      <c r="D962" s="81"/>
    </row>
    <row r="963" spans="1:4" ht="15.75" thickBot="1" x14ac:dyDescent="0.3">
      <c r="A963" s="93" t="s">
        <v>1518</v>
      </c>
      <c r="B963" s="83" t="s">
        <v>1506</v>
      </c>
      <c r="C963" s="84">
        <v>0</v>
      </c>
      <c r="D963" s="81"/>
    </row>
    <row r="964" spans="1:4" ht="15.75" thickBot="1" x14ac:dyDescent="0.3">
      <c r="A964" s="93" t="s">
        <v>1519</v>
      </c>
      <c r="B964" s="83" t="s">
        <v>759</v>
      </c>
      <c r="C964" s="84">
        <v>0</v>
      </c>
      <c r="D964" s="81"/>
    </row>
    <row r="965" spans="1:4" ht="15.75" thickBot="1" x14ac:dyDescent="0.3">
      <c r="A965" s="93" t="s">
        <v>1520</v>
      </c>
      <c r="B965" s="83" t="s">
        <v>596</v>
      </c>
      <c r="C965" s="84">
        <v>0</v>
      </c>
      <c r="D965" s="81"/>
    </row>
    <row r="966" spans="1:4" ht="15.75" thickBot="1" x14ac:dyDescent="0.3">
      <c r="A966" s="93" t="s">
        <v>1521</v>
      </c>
      <c r="B966" s="83" t="s">
        <v>544</v>
      </c>
      <c r="C966" s="85">
        <v>21</v>
      </c>
      <c r="D966" s="81"/>
    </row>
    <row r="967" spans="1:4" ht="15.75" thickBot="1" x14ac:dyDescent="0.3">
      <c r="A967" s="93" t="s">
        <v>1522</v>
      </c>
      <c r="B967" s="83" t="s">
        <v>544</v>
      </c>
      <c r="C967" s="84">
        <v>0</v>
      </c>
      <c r="D967" s="81"/>
    </row>
    <row r="968" spans="1:4" ht="15.75" thickBot="1" x14ac:dyDescent="0.3">
      <c r="A968" s="93" t="s">
        <v>1523</v>
      </c>
      <c r="B968" s="83" t="s">
        <v>677</v>
      </c>
      <c r="C968" s="84">
        <v>0</v>
      </c>
      <c r="D968" s="81"/>
    </row>
    <row r="969" spans="1:4" ht="15.75" thickBot="1" x14ac:dyDescent="0.3">
      <c r="A969" s="93" t="s">
        <v>1524</v>
      </c>
      <c r="B969" s="83" t="s">
        <v>677</v>
      </c>
      <c r="C969" s="84">
        <v>0</v>
      </c>
      <c r="D969" s="81"/>
    </row>
    <row r="970" spans="1:4" ht="15.75" thickBot="1" x14ac:dyDescent="0.3">
      <c r="A970" s="93" t="s">
        <v>1525</v>
      </c>
      <c r="B970" s="83" t="s">
        <v>677</v>
      </c>
      <c r="C970" s="84">
        <v>0</v>
      </c>
      <c r="D970" s="81"/>
    </row>
    <row r="971" spans="1:4" ht="15.75" thickBot="1" x14ac:dyDescent="0.3">
      <c r="A971" s="93" t="s">
        <v>1526</v>
      </c>
      <c r="B971" s="83" t="s">
        <v>677</v>
      </c>
      <c r="C971" s="84">
        <v>0</v>
      </c>
      <c r="D971" s="81"/>
    </row>
    <row r="972" spans="1:4" ht="15.75" thickBot="1" x14ac:dyDescent="0.3">
      <c r="A972" s="93" t="s">
        <v>1527</v>
      </c>
      <c r="B972" s="83" t="s">
        <v>677</v>
      </c>
      <c r="C972" s="84">
        <v>0</v>
      </c>
      <c r="D972" s="81"/>
    </row>
    <row r="973" spans="1:4" ht="15.75" thickBot="1" x14ac:dyDescent="0.3">
      <c r="A973" s="93" t="s">
        <v>1528</v>
      </c>
      <c r="B973" s="83" t="s">
        <v>677</v>
      </c>
      <c r="C973" s="84">
        <v>0</v>
      </c>
      <c r="D973" s="81"/>
    </row>
    <row r="974" spans="1:4" ht="15.75" thickBot="1" x14ac:dyDescent="0.3">
      <c r="A974" s="93" t="s">
        <v>1529</v>
      </c>
      <c r="B974" s="83" t="s">
        <v>677</v>
      </c>
      <c r="C974" s="84">
        <v>0</v>
      </c>
      <c r="D974" s="81"/>
    </row>
    <row r="975" spans="1:4" ht="15.75" thickBot="1" x14ac:dyDescent="0.3">
      <c r="A975" s="93" t="s">
        <v>1530</v>
      </c>
      <c r="B975" s="83" t="s">
        <v>677</v>
      </c>
      <c r="C975" s="84">
        <v>0</v>
      </c>
      <c r="D975" s="81"/>
    </row>
    <row r="976" spans="1:4" ht="15.75" thickBot="1" x14ac:dyDescent="0.3">
      <c r="A976" s="93" t="s">
        <v>1531</v>
      </c>
      <c r="B976" s="83" t="s">
        <v>677</v>
      </c>
      <c r="C976" s="84">
        <v>0</v>
      </c>
      <c r="D976" s="81"/>
    </row>
    <row r="977" spans="1:4" ht="15.75" thickBot="1" x14ac:dyDescent="0.3">
      <c r="A977" s="93" t="s">
        <v>1532</v>
      </c>
      <c r="B977" s="83" t="s">
        <v>677</v>
      </c>
      <c r="C977" s="84">
        <v>0</v>
      </c>
      <c r="D977" s="81"/>
    </row>
    <row r="978" spans="1:4" ht="15.75" thickBot="1" x14ac:dyDescent="0.3">
      <c r="A978" s="93" t="s">
        <v>1533</v>
      </c>
      <c r="B978" s="83" t="s">
        <v>677</v>
      </c>
      <c r="C978" s="84">
        <v>0</v>
      </c>
      <c r="D978" s="81"/>
    </row>
    <row r="979" spans="1:4" ht="15.75" thickBot="1" x14ac:dyDescent="0.3">
      <c r="A979" s="93" t="s">
        <v>1534</v>
      </c>
      <c r="B979" s="83" t="s">
        <v>677</v>
      </c>
      <c r="C979" s="84">
        <v>0</v>
      </c>
      <c r="D979" s="81"/>
    </row>
    <row r="980" spans="1:4" ht="15.75" thickBot="1" x14ac:dyDescent="0.3">
      <c r="A980" s="93" t="s">
        <v>1535</v>
      </c>
      <c r="B980" s="83" t="s">
        <v>677</v>
      </c>
      <c r="C980" s="84">
        <v>0</v>
      </c>
      <c r="D980" s="81"/>
    </row>
    <row r="981" spans="1:4" ht="15.75" thickBot="1" x14ac:dyDescent="0.3">
      <c r="A981" s="93" t="s">
        <v>1536</v>
      </c>
      <c r="B981" s="83" t="s">
        <v>677</v>
      </c>
      <c r="C981" s="84">
        <v>0</v>
      </c>
      <c r="D981" s="81"/>
    </row>
    <row r="982" spans="1:4" ht="15.75" thickBot="1" x14ac:dyDescent="0.3">
      <c r="A982" s="93" t="s">
        <v>1537</v>
      </c>
      <c r="B982" s="83" t="s">
        <v>677</v>
      </c>
      <c r="C982" s="84">
        <v>0</v>
      </c>
      <c r="D982" s="81"/>
    </row>
    <row r="983" spans="1:4" ht="15.75" thickBot="1" x14ac:dyDescent="0.3">
      <c r="A983" s="93" t="s">
        <v>1538</v>
      </c>
      <c r="B983" s="83" t="s">
        <v>677</v>
      </c>
      <c r="C983" s="84">
        <v>0</v>
      </c>
      <c r="D983" s="81"/>
    </row>
    <row r="984" spans="1:4" ht="15.75" thickBot="1" x14ac:dyDescent="0.3">
      <c r="A984" s="93" t="s">
        <v>1539</v>
      </c>
      <c r="B984" s="83" t="s">
        <v>296</v>
      </c>
      <c r="C984" s="86">
        <v>5</v>
      </c>
      <c r="D984" s="81"/>
    </row>
    <row r="985" spans="1:4" ht="15.75" thickBot="1" x14ac:dyDescent="0.3">
      <c r="A985" s="93" t="s">
        <v>1540</v>
      </c>
      <c r="B985" s="83" t="s">
        <v>509</v>
      </c>
      <c r="C985" s="85">
        <v>6</v>
      </c>
      <c r="D985" s="81"/>
    </row>
    <row r="986" spans="1:4" ht="15.75" thickBot="1" x14ac:dyDescent="0.3">
      <c r="A986" s="93" t="s">
        <v>1541</v>
      </c>
      <c r="B986" s="83" t="s">
        <v>511</v>
      </c>
      <c r="C986" s="86">
        <v>4</v>
      </c>
      <c r="D986" s="81"/>
    </row>
    <row r="987" spans="1:4" ht="15.75" thickBot="1" x14ac:dyDescent="0.3">
      <c r="A987" s="93" t="s">
        <v>1542</v>
      </c>
      <c r="B987" s="83" t="s">
        <v>439</v>
      </c>
      <c r="C987" s="86">
        <v>2</v>
      </c>
      <c r="D987" s="81"/>
    </row>
    <row r="988" spans="1:4" ht="15.75" thickBot="1" x14ac:dyDescent="0.3">
      <c r="A988" s="93" t="s">
        <v>1543</v>
      </c>
      <c r="B988" s="83" t="s">
        <v>459</v>
      </c>
      <c r="C988" s="86">
        <v>2</v>
      </c>
      <c r="D988" s="81"/>
    </row>
    <row r="989" spans="1:4" ht="15.75" thickBot="1" x14ac:dyDescent="0.3">
      <c r="A989" s="93" t="s">
        <v>1544</v>
      </c>
      <c r="B989" s="83" t="s">
        <v>589</v>
      </c>
      <c r="C989" s="84">
        <v>0</v>
      </c>
      <c r="D989" s="81"/>
    </row>
    <row r="990" spans="1:4" ht="15.75" thickBot="1" x14ac:dyDescent="0.3">
      <c r="A990" s="93" t="s">
        <v>1545</v>
      </c>
      <c r="B990" s="83" t="s">
        <v>591</v>
      </c>
      <c r="C990" s="84">
        <v>0</v>
      </c>
      <c r="D990" s="81"/>
    </row>
    <row r="991" spans="1:4" ht="15.75" thickBot="1" x14ac:dyDescent="0.3">
      <c r="A991" s="93" t="s">
        <v>1546</v>
      </c>
      <c r="B991" s="83" t="s">
        <v>593</v>
      </c>
      <c r="C991" s="84">
        <v>0</v>
      </c>
      <c r="D991" s="81"/>
    </row>
    <row r="992" spans="1:4" ht="15.75" thickBot="1" x14ac:dyDescent="0.3">
      <c r="A992" s="93" t="s">
        <v>1547</v>
      </c>
      <c r="B992" s="83" t="s">
        <v>459</v>
      </c>
      <c r="C992" s="84">
        <v>0</v>
      </c>
      <c r="D992" s="81"/>
    </row>
    <row r="993" spans="1:4" ht="15.75" thickBot="1" x14ac:dyDescent="0.3">
      <c r="A993" s="93" t="s">
        <v>1548</v>
      </c>
      <c r="B993" s="83" t="s">
        <v>589</v>
      </c>
      <c r="C993" s="84">
        <v>0</v>
      </c>
      <c r="D993" s="81"/>
    </row>
    <row r="994" spans="1:4" ht="15.75" thickBot="1" x14ac:dyDescent="0.3">
      <c r="A994" s="93" t="s">
        <v>1549</v>
      </c>
      <c r="B994" s="83" t="s">
        <v>591</v>
      </c>
      <c r="C994" s="84">
        <v>0</v>
      </c>
      <c r="D994" s="81"/>
    </row>
    <row r="995" spans="1:4" ht="15.75" thickBot="1" x14ac:dyDescent="0.3">
      <c r="A995" s="93" t="s">
        <v>1550</v>
      </c>
      <c r="B995" s="83" t="s">
        <v>593</v>
      </c>
      <c r="C995" s="84">
        <v>0</v>
      </c>
      <c r="D995" s="81"/>
    </row>
    <row r="996" spans="1:4" ht="15.75" thickBot="1" x14ac:dyDescent="0.3">
      <c r="A996" s="93" t="s">
        <v>1551</v>
      </c>
      <c r="B996" s="83" t="s">
        <v>459</v>
      </c>
      <c r="C996" s="84">
        <v>0</v>
      </c>
      <c r="D996" s="81"/>
    </row>
    <row r="997" spans="1:4" ht="15.75" thickBot="1" x14ac:dyDescent="0.3">
      <c r="A997" s="93" t="s">
        <v>1552</v>
      </c>
      <c r="B997" s="83" t="s">
        <v>589</v>
      </c>
      <c r="C997" s="84">
        <v>0</v>
      </c>
      <c r="D997" s="81"/>
    </row>
    <row r="998" spans="1:4" ht="15.75" thickBot="1" x14ac:dyDescent="0.3">
      <c r="A998" s="93" t="s">
        <v>1553</v>
      </c>
      <c r="B998" s="83" t="s">
        <v>591</v>
      </c>
      <c r="C998" s="84">
        <v>0</v>
      </c>
      <c r="D998" s="81"/>
    </row>
    <row r="999" spans="1:4" ht="15.75" thickBot="1" x14ac:dyDescent="0.3">
      <c r="A999" s="93" t="s">
        <v>1554</v>
      </c>
      <c r="B999" s="83" t="s">
        <v>593</v>
      </c>
      <c r="C999" s="84">
        <v>0</v>
      </c>
      <c r="D999" s="81"/>
    </row>
    <row r="1000" spans="1:4" ht="15.75" thickBot="1" x14ac:dyDescent="0.3">
      <c r="A1000" s="93" t="s">
        <v>1555</v>
      </c>
      <c r="B1000" s="83" t="s">
        <v>544</v>
      </c>
      <c r="C1000" s="85">
        <v>14</v>
      </c>
      <c r="D1000" s="81"/>
    </row>
    <row r="1001" spans="1:4" ht="15.75" thickBot="1" x14ac:dyDescent="0.3">
      <c r="A1001" s="93" t="s">
        <v>1556</v>
      </c>
      <c r="B1001" s="83" t="s">
        <v>268</v>
      </c>
      <c r="C1001" s="85">
        <v>30</v>
      </c>
      <c r="D1001" s="81"/>
    </row>
    <row r="1002" spans="1:4" ht="15.75" thickBot="1" x14ac:dyDescent="0.3">
      <c r="A1002" s="93" t="s">
        <v>1557</v>
      </c>
      <c r="B1002" s="83" t="s">
        <v>596</v>
      </c>
      <c r="C1002" s="85">
        <v>88</v>
      </c>
      <c r="D1002" s="81"/>
    </row>
    <row r="1003" spans="1:4" ht="15.75" thickBot="1" x14ac:dyDescent="0.3">
      <c r="A1003" s="93" t="s">
        <v>1558</v>
      </c>
      <c r="B1003" s="83" t="s">
        <v>944</v>
      </c>
      <c r="C1003" s="84">
        <v>0</v>
      </c>
      <c r="D1003" s="81"/>
    </row>
    <row r="1004" spans="1:4" ht="15.75" thickBot="1" x14ac:dyDescent="0.3">
      <c r="A1004" s="93" t="s">
        <v>1559</v>
      </c>
      <c r="B1004" s="83" t="s">
        <v>1560</v>
      </c>
      <c r="C1004" s="85">
        <v>82</v>
      </c>
      <c r="D1004" s="81"/>
    </row>
    <row r="1005" spans="1:4" ht="15.75" thickBot="1" x14ac:dyDescent="0.3">
      <c r="A1005" s="93" t="s">
        <v>1561</v>
      </c>
      <c r="B1005" s="83" t="s">
        <v>296</v>
      </c>
      <c r="C1005" s="85">
        <v>70</v>
      </c>
      <c r="D1005" s="81"/>
    </row>
    <row r="1006" spans="1:4" ht="15.75" thickBot="1" x14ac:dyDescent="0.3">
      <c r="A1006" s="93" t="s">
        <v>1562</v>
      </c>
      <c r="B1006" s="83" t="s">
        <v>296</v>
      </c>
      <c r="C1006" s="84">
        <v>0</v>
      </c>
      <c r="D1006" s="81"/>
    </row>
    <row r="1007" spans="1:4" ht="15.75" thickBot="1" x14ac:dyDescent="0.3">
      <c r="A1007" s="93" t="s">
        <v>1563</v>
      </c>
      <c r="B1007" s="83" t="s">
        <v>546</v>
      </c>
      <c r="C1007" s="84">
        <v>0</v>
      </c>
      <c r="D1007" s="81"/>
    </row>
    <row r="1008" spans="1:4" ht="15.75" thickBot="1" x14ac:dyDescent="0.3">
      <c r="A1008" s="93" t="s">
        <v>1564</v>
      </c>
      <c r="B1008" s="83" t="s">
        <v>296</v>
      </c>
      <c r="C1008" s="85">
        <v>7</v>
      </c>
      <c r="D1008" s="81"/>
    </row>
    <row r="1009" spans="1:4" ht="15.75" thickBot="1" x14ac:dyDescent="0.3">
      <c r="A1009" s="93" t="s">
        <v>1565</v>
      </c>
      <c r="B1009" s="83" t="s">
        <v>509</v>
      </c>
      <c r="C1009" s="86">
        <v>3</v>
      </c>
      <c r="D1009" s="81"/>
    </row>
    <row r="1010" spans="1:4" ht="15.75" thickBot="1" x14ac:dyDescent="0.3">
      <c r="A1010" s="93" t="s">
        <v>1566</v>
      </c>
      <c r="B1010" s="83" t="s">
        <v>511</v>
      </c>
      <c r="C1010" s="86">
        <v>3</v>
      </c>
      <c r="D1010" s="81"/>
    </row>
    <row r="1011" spans="1:4" ht="15.75" thickBot="1" x14ac:dyDescent="0.3">
      <c r="A1011" s="93" t="s">
        <v>1567</v>
      </c>
      <c r="B1011" s="83" t="s">
        <v>439</v>
      </c>
      <c r="C1011" s="84">
        <v>0</v>
      </c>
      <c r="D1011" s="81"/>
    </row>
    <row r="1012" spans="1:4" ht="15.75" thickBot="1" x14ac:dyDescent="0.3">
      <c r="A1012" s="93" t="s">
        <v>1568</v>
      </c>
      <c r="B1012" s="83" t="s">
        <v>546</v>
      </c>
      <c r="C1012" s="84">
        <v>0</v>
      </c>
      <c r="D1012" s="81"/>
    </row>
    <row r="1013" spans="1:4" ht="15.75" thickBot="1" x14ac:dyDescent="0.3">
      <c r="A1013" s="93" t="s">
        <v>1569</v>
      </c>
      <c r="B1013" s="83" t="s">
        <v>296</v>
      </c>
      <c r="C1013" s="85">
        <v>16</v>
      </c>
      <c r="D1013" s="81"/>
    </row>
    <row r="1014" spans="1:4" ht="15.75" thickBot="1" x14ac:dyDescent="0.3">
      <c r="A1014" s="93" t="s">
        <v>1570</v>
      </c>
      <c r="B1014" s="83" t="s">
        <v>509</v>
      </c>
      <c r="C1014" s="85">
        <v>39</v>
      </c>
      <c r="D1014" s="81"/>
    </row>
    <row r="1015" spans="1:4" ht="27" thickBot="1" x14ac:dyDescent="0.3">
      <c r="A1015" s="93" t="s">
        <v>1571</v>
      </c>
      <c r="B1015" s="83" t="s">
        <v>511</v>
      </c>
      <c r="C1015" s="84">
        <v>0</v>
      </c>
      <c r="D1015" s="81" t="s">
        <v>1572</v>
      </c>
    </row>
    <row r="1016" spans="1:4" ht="15.75" thickBot="1" x14ac:dyDescent="0.3">
      <c r="A1016" s="93" t="s">
        <v>1573</v>
      </c>
      <c r="B1016" s="83" t="s">
        <v>439</v>
      </c>
      <c r="C1016" s="86">
        <v>5</v>
      </c>
      <c r="D1016" s="81"/>
    </row>
    <row r="1017" spans="1:4" ht="15.75" thickBot="1" x14ac:dyDescent="0.3">
      <c r="A1017" s="93" t="s">
        <v>1574</v>
      </c>
      <c r="B1017" s="83" t="s">
        <v>546</v>
      </c>
      <c r="C1017" s="84">
        <v>0</v>
      </c>
      <c r="D1017" s="81"/>
    </row>
    <row r="1018" spans="1:4" ht="15.75" thickBot="1" x14ac:dyDescent="0.3">
      <c r="A1018" s="93" t="s">
        <v>1575</v>
      </c>
      <c r="B1018" s="83" t="s">
        <v>296</v>
      </c>
      <c r="C1018" s="85">
        <v>6</v>
      </c>
      <c r="D1018" s="81"/>
    </row>
    <row r="1019" spans="1:4" ht="15.75" thickBot="1" x14ac:dyDescent="0.3">
      <c r="A1019" s="93" t="s">
        <v>1576</v>
      </c>
      <c r="B1019" s="83" t="s">
        <v>509</v>
      </c>
      <c r="C1019" s="86">
        <v>4</v>
      </c>
      <c r="D1019" s="81"/>
    </row>
    <row r="1020" spans="1:4" ht="15.75" thickBot="1" x14ac:dyDescent="0.3">
      <c r="A1020" s="93" t="s">
        <v>1577</v>
      </c>
      <c r="B1020" s="83" t="s">
        <v>511</v>
      </c>
      <c r="C1020" s="84">
        <v>0</v>
      </c>
      <c r="D1020" s="81"/>
    </row>
    <row r="1021" spans="1:4" ht="15.75" thickBot="1" x14ac:dyDescent="0.3">
      <c r="A1021" s="93" t="s">
        <v>1578</v>
      </c>
      <c r="B1021" s="83" t="s">
        <v>439</v>
      </c>
      <c r="C1021" s="84">
        <v>0</v>
      </c>
      <c r="D1021" s="81"/>
    </row>
    <row r="1022" spans="1:4" ht="15.75" thickBot="1" x14ac:dyDescent="0.3">
      <c r="A1022" s="93" t="s">
        <v>1579</v>
      </c>
      <c r="B1022" s="83" t="s">
        <v>546</v>
      </c>
      <c r="C1022" s="84">
        <v>0</v>
      </c>
      <c r="D1022" s="81"/>
    </row>
    <row r="1023" spans="1:4" ht="15.75" thickBot="1" x14ac:dyDescent="0.3">
      <c r="A1023" s="93" t="s">
        <v>1580</v>
      </c>
      <c r="B1023" s="83" t="s">
        <v>296</v>
      </c>
      <c r="C1023" s="86">
        <v>4</v>
      </c>
      <c r="D1023" s="81"/>
    </row>
    <row r="1024" spans="1:4" ht="15.75" thickBot="1" x14ac:dyDescent="0.3">
      <c r="A1024" s="93" t="s">
        <v>1581</v>
      </c>
      <c r="B1024" s="83" t="s">
        <v>509</v>
      </c>
      <c r="C1024" s="85">
        <v>12</v>
      </c>
      <c r="D1024" s="81"/>
    </row>
    <row r="1025" spans="1:4" ht="15.75" thickBot="1" x14ac:dyDescent="0.3">
      <c r="A1025" s="93" t="s">
        <v>1582</v>
      </c>
      <c r="B1025" s="83" t="s">
        <v>511</v>
      </c>
      <c r="C1025" s="84">
        <v>0</v>
      </c>
      <c r="D1025" s="81"/>
    </row>
    <row r="1026" spans="1:4" ht="15.75" thickBot="1" x14ac:dyDescent="0.3">
      <c r="A1026" s="93" t="s">
        <v>1583</v>
      </c>
      <c r="B1026" s="83" t="s">
        <v>546</v>
      </c>
      <c r="C1026" s="84">
        <v>0</v>
      </c>
      <c r="D1026" s="81"/>
    </row>
    <row r="1027" spans="1:4" ht="15.75" thickBot="1" x14ac:dyDescent="0.3">
      <c r="A1027" s="93" t="s">
        <v>1584</v>
      </c>
      <c r="B1027" s="83" t="s">
        <v>296</v>
      </c>
      <c r="C1027" s="84">
        <v>0</v>
      </c>
      <c r="D1027" s="81"/>
    </row>
    <row r="1028" spans="1:4" ht="15.75" thickBot="1" x14ac:dyDescent="0.3">
      <c r="A1028" s="93" t="s">
        <v>1585</v>
      </c>
      <c r="B1028" s="83" t="s">
        <v>509</v>
      </c>
      <c r="C1028" s="84">
        <v>0.25</v>
      </c>
      <c r="D1028" s="81"/>
    </row>
    <row r="1029" spans="1:4" ht="15.75" thickBot="1" x14ac:dyDescent="0.3">
      <c r="A1029" s="93" t="s">
        <v>1586</v>
      </c>
      <c r="B1029" s="83" t="s">
        <v>511</v>
      </c>
      <c r="C1029" s="84">
        <v>0</v>
      </c>
      <c r="D1029" s="81"/>
    </row>
    <row r="1030" spans="1:4" ht="15.75" thickBot="1" x14ac:dyDescent="0.3">
      <c r="A1030" s="93" t="s">
        <v>1587</v>
      </c>
      <c r="B1030" s="83" t="s">
        <v>439</v>
      </c>
      <c r="C1030" s="84">
        <v>0</v>
      </c>
      <c r="D1030" s="81"/>
    </row>
    <row r="1031" spans="1:4" ht="15.75" thickBot="1" x14ac:dyDescent="0.3">
      <c r="A1031" s="93" t="s">
        <v>1588</v>
      </c>
      <c r="B1031" s="83" t="s">
        <v>296</v>
      </c>
      <c r="C1031" s="86">
        <v>2</v>
      </c>
      <c r="D1031" s="81"/>
    </row>
    <row r="1032" spans="1:4" ht="15.75" thickBot="1" x14ac:dyDescent="0.3">
      <c r="A1032" s="93" t="s">
        <v>1589</v>
      </c>
      <c r="B1032" s="83" t="s">
        <v>509</v>
      </c>
      <c r="C1032" s="85">
        <v>15</v>
      </c>
      <c r="D1032" s="81"/>
    </row>
    <row r="1033" spans="1:4" ht="15.75" thickBot="1" x14ac:dyDescent="0.3">
      <c r="A1033" s="93" t="s">
        <v>1590</v>
      </c>
      <c r="B1033" s="83" t="s">
        <v>511</v>
      </c>
      <c r="C1033" s="84">
        <v>1</v>
      </c>
      <c r="D1033" s="81"/>
    </row>
    <row r="1034" spans="1:4" ht="15.75" thickBot="1" x14ac:dyDescent="0.3">
      <c r="A1034" s="93" t="s">
        <v>1591</v>
      </c>
      <c r="B1034" s="83" t="s">
        <v>439</v>
      </c>
      <c r="C1034" s="84">
        <v>0</v>
      </c>
      <c r="D1034" s="81"/>
    </row>
    <row r="1035" spans="1:4" ht="15.75" thickBot="1" x14ac:dyDescent="0.3">
      <c r="A1035" s="93" t="s">
        <v>1592</v>
      </c>
      <c r="B1035" s="83" t="s">
        <v>296</v>
      </c>
      <c r="C1035" s="84">
        <v>0</v>
      </c>
      <c r="D1035" s="81"/>
    </row>
    <row r="1036" spans="1:4" ht="15.75" thickBot="1" x14ac:dyDescent="0.3">
      <c r="A1036" s="93" t="s">
        <v>1593</v>
      </c>
      <c r="B1036" s="83" t="s">
        <v>296</v>
      </c>
      <c r="C1036" s="84">
        <v>0</v>
      </c>
      <c r="D1036" s="81"/>
    </row>
    <row r="1037" spans="1:4" ht="15.75" thickBot="1" x14ac:dyDescent="0.3">
      <c r="A1037" s="93" t="s">
        <v>1594</v>
      </c>
      <c r="B1037" s="83" t="s">
        <v>296</v>
      </c>
      <c r="C1037" s="84">
        <v>0</v>
      </c>
      <c r="D1037" s="81"/>
    </row>
    <row r="1038" spans="1:4" ht="15.75" thickBot="1" x14ac:dyDescent="0.3">
      <c r="A1038" s="93" t="s">
        <v>1595</v>
      </c>
      <c r="B1038" s="83" t="s">
        <v>296</v>
      </c>
      <c r="C1038" s="86">
        <v>5</v>
      </c>
      <c r="D1038" s="81"/>
    </row>
    <row r="1039" spans="1:4" ht="15.75" thickBot="1" x14ac:dyDescent="0.3">
      <c r="A1039" s="93" t="s">
        <v>1596</v>
      </c>
      <c r="B1039" s="83" t="s">
        <v>296</v>
      </c>
      <c r="C1039" s="86">
        <v>5</v>
      </c>
      <c r="D1039" s="81"/>
    </row>
    <row r="1040" spans="1:4" ht="15.75" thickBot="1" x14ac:dyDescent="0.3">
      <c r="A1040" s="93" t="s">
        <v>1597</v>
      </c>
      <c r="B1040" s="83" t="s">
        <v>296</v>
      </c>
      <c r="C1040" s="84">
        <v>0</v>
      </c>
      <c r="D1040" s="81"/>
    </row>
    <row r="1041" spans="1:4" ht="15.75" thickBot="1" x14ac:dyDescent="0.3">
      <c r="A1041" s="93" t="s">
        <v>1598</v>
      </c>
      <c r="B1041" s="83" t="s">
        <v>296</v>
      </c>
      <c r="C1041" s="85">
        <v>15</v>
      </c>
      <c r="D1041" s="81"/>
    </row>
    <row r="1042" spans="1:4" ht="15.75" thickBot="1" x14ac:dyDescent="0.3">
      <c r="A1042" s="93" t="s">
        <v>1599</v>
      </c>
      <c r="B1042" s="83" t="s">
        <v>296</v>
      </c>
      <c r="C1042" s="84">
        <v>0</v>
      </c>
      <c r="D1042" s="81"/>
    </row>
    <row r="1043" spans="1:4" ht="15.75" thickBot="1" x14ac:dyDescent="0.3">
      <c r="A1043" s="93" t="s">
        <v>1600</v>
      </c>
      <c r="B1043" s="83" t="s">
        <v>296</v>
      </c>
      <c r="C1043" s="84">
        <v>0</v>
      </c>
      <c r="D1043" s="81"/>
    </row>
    <row r="1044" spans="1:4" ht="15.75" thickBot="1" x14ac:dyDescent="0.3">
      <c r="A1044" s="93" t="s">
        <v>1601</v>
      </c>
      <c r="B1044" s="83" t="s">
        <v>296</v>
      </c>
      <c r="C1044" s="84">
        <v>-2</v>
      </c>
      <c r="D1044" s="81"/>
    </row>
    <row r="1045" spans="1:4" ht="15.75" thickBot="1" x14ac:dyDescent="0.3">
      <c r="A1045" s="93" t="s">
        <v>1602</v>
      </c>
      <c r="B1045" s="83" t="s">
        <v>596</v>
      </c>
      <c r="C1045" s="84">
        <v>0</v>
      </c>
      <c r="D1045" s="81"/>
    </row>
    <row r="1046" spans="1:4" ht="15.75" thickBot="1" x14ac:dyDescent="0.3">
      <c r="A1046" s="93" t="s">
        <v>1603</v>
      </c>
      <c r="B1046" s="83" t="s">
        <v>509</v>
      </c>
      <c r="C1046" s="84">
        <v>0</v>
      </c>
      <c r="D1046" s="81"/>
    </row>
    <row r="1047" spans="1:4" ht="15.75" thickBot="1" x14ac:dyDescent="0.3">
      <c r="A1047" s="93" t="s">
        <v>1604</v>
      </c>
      <c r="B1047" s="83" t="s">
        <v>296</v>
      </c>
      <c r="C1047" s="84">
        <v>0</v>
      </c>
      <c r="D1047" s="81"/>
    </row>
    <row r="1048" spans="1:4" ht="15.75" thickBot="1" x14ac:dyDescent="0.3">
      <c r="A1048" s="93" t="s">
        <v>1605</v>
      </c>
      <c r="B1048" s="83" t="s">
        <v>509</v>
      </c>
      <c r="C1048" s="84">
        <v>0</v>
      </c>
      <c r="D1048" s="81"/>
    </row>
    <row r="1049" spans="1:4" ht="15.75" thickBot="1" x14ac:dyDescent="0.3">
      <c r="A1049" s="93" t="s">
        <v>1606</v>
      </c>
      <c r="B1049" s="83" t="s">
        <v>511</v>
      </c>
      <c r="C1049" s="84">
        <v>0</v>
      </c>
      <c r="D1049" s="81"/>
    </row>
    <row r="1050" spans="1:4" ht="15.75" thickBot="1" x14ac:dyDescent="0.3">
      <c r="A1050" s="93" t="s">
        <v>1607</v>
      </c>
      <c r="B1050" s="83" t="s">
        <v>439</v>
      </c>
      <c r="C1050" s="84">
        <v>0</v>
      </c>
      <c r="D1050" s="81"/>
    </row>
    <row r="1051" spans="1:4" ht="15.75" thickBot="1" x14ac:dyDescent="0.3">
      <c r="A1051" s="93" t="s">
        <v>1608</v>
      </c>
      <c r="B1051" s="83" t="s">
        <v>296</v>
      </c>
      <c r="C1051" s="84">
        <v>-41</v>
      </c>
      <c r="D1051" s="81"/>
    </row>
    <row r="1052" spans="1:4" ht="15.75" thickBot="1" x14ac:dyDescent="0.3">
      <c r="A1052" s="93" t="s">
        <v>1609</v>
      </c>
      <c r="B1052" s="83" t="s">
        <v>494</v>
      </c>
      <c r="C1052" s="84">
        <v>0</v>
      </c>
      <c r="D1052" s="81"/>
    </row>
    <row r="1053" spans="1:4" ht="15.75" thickBot="1" x14ac:dyDescent="0.3">
      <c r="A1053" s="93" t="s">
        <v>1610</v>
      </c>
      <c r="B1053" s="83" t="s">
        <v>546</v>
      </c>
      <c r="C1053" s="84">
        <v>0</v>
      </c>
      <c r="D1053" s="81"/>
    </row>
    <row r="1054" spans="1:4" ht="15.75" thickBot="1" x14ac:dyDescent="0.3">
      <c r="A1054" s="93" t="s">
        <v>1611</v>
      </c>
      <c r="B1054" s="83" t="s">
        <v>596</v>
      </c>
      <c r="C1054" s="85">
        <v>6</v>
      </c>
      <c r="D1054" s="81"/>
    </row>
    <row r="1055" spans="1:4" ht="15.75" thickBot="1" x14ac:dyDescent="0.3">
      <c r="A1055" s="93" t="s">
        <v>1612</v>
      </c>
      <c r="B1055" s="83" t="s">
        <v>596</v>
      </c>
      <c r="C1055" s="85">
        <v>18</v>
      </c>
      <c r="D1055" s="81"/>
    </row>
    <row r="1056" spans="1:4" ht="15.75" thickBot="1" x14ac:dyDescent="0.3">
      <c r="A1056" s="93" t="s">
        <v>1613</v>
      </c>
      <c r="B1056" s="83" t="s">
        <v>296</v>
      </c>
      <c r="C1056" s="84">
        <v>0</v>
      </c>
      <c r="D1056" s="81"/>
    </row>
    <row r="1057" spans="1:4" ht="15.75" thickBot="1" x14ac:dyDescent="0.3">
      <c r="A1057" s="93" t="s">
        <v>1614</v>
      </c>
      <c r="B1057" s="83" t="s">
        <v>296</v>
      </c>
      <c r="C1057" s="84">
        <v>0</v>
      </c>
      <c r="D1057" s="81"/>
    </row>
    <row r="1058" spans="1:4" ht="15.75" thickBot="1" x14ac:dyDescent="0.3">
      <c r="A1058" s="93" t="s">
        <v>1615</v>
      </c>
      <c r="B1058" s="83" t="s">
        <v>509</v>
      </c>
      <c r="C1058" s="84">
        <v>0</v>
      </c>
      <c r="D1058" s="81"/>
    </row>
    <row r="1059" spans="1:4" ht="15.75" thickBot="1" x14ac:dyDescent="0.3">
      <c r="A1059" s="93" t="s">
        <v>1616</v>
      </c>
      <c r="B1059" s="83" t="s">
        <v>494</v>
      </c>
      <c r="C1059" s="84">
        <v>0</v>
      </c>
      <c r="D1059" s="81"/>
    </row>
    <row r="1060" spans="1:4" ht="15.75" thickBot="1" x14ac:dyDescent="0.3">
      <c r="A1060" s="93" t="s">
        <v>1617</v>
      </c>
      <c r="B1060" s="83" t="s">
        <v>494</v>
      </c>
      <c r="C1060" s="84">
        <v>0</v>
      </c>
      <c r="D1060" s="81"/>
    </row>
    <row r="1061" spans="1:4" ht="15.75" thickBot="1" x14ac:dyDescent="0.3">
      <c r="A1061" s="93" t="s">
        <v>1618</v>
      </c>
      <c r="B1061" s="83" t="s">
        <v>544</v>
      </c>
      <c r="C1061" s="84">
        <v>0</v>
      </c>
      <c r="D1061" s="81"/>
    </row>
    <row r="1062" spans="1:4" ht="15.75" thickBot="1" x14ac:dyDescent="0.3">
      <c r="A1062" s="93" t="s">
        <v>1619</v>
      </c>
      <c r="B1062" s="83" t="s">
        <v>596</v>
      </c>
      <c r="C1062" s="84">
        <v>0</v>
      </c>
      <c r="D1062" s="81"/>
    </row>
    <row r="1063" spans="1:4" ht="15.75" thickBot="1" x14ac:dyDescent="0.3">
      <c r="A1063" s="93" t="s">
        <v>1620</v>
      </c>
      <c r="B1063" s="83" t="s">
        <v>296</v>
      </c>
      <c r="C1063" s="84">
        <v>0</v>
      </c>
      <c r="D1063" s="81"/>
    </row>
    <row r="1064" spans="1:4" ht="15.75" thickBot="1" x14ac:dyDescent="0.3">
      <c r="A1064" s="93" t="s">
        <v>1621</v>
      </c>
      <c r="B1064" s="83" t="s">
        <v>509</v>
      </c>
      <c r="C1064" s="84">
        <v>0</v>
      </c>
      <c r="D1064" s="81"/>
    </row>
    <row r="1065" spans="1:4" ht="15.75" thickBot="1" x14ac:dyDescent="0.3">
      <c r="A1065" s="93" t="s">
        <v>1622</v>
      </c>
      <c r="B1065" s="83" t="s">
        <v>596</v>
      </c>
      <c r="C1065" s="84">
        <v>0</v>
      </c>
      <c r="D1065" s="81"/>
    </row>
    <row r="1066" spans="1:4" ht="15.75" thickBot="1" x14ac:dyDescent="0.3">
      <c r="A1066" s="93" t="s">
        <v>1623</v>
      </c>
      <c r="B1066" s="83" t="s">
        <v>296</v>
      </c>
      <c r="C1066" s="84">
        <v>0</v>
      </c>
      <c r="D1066" s="81"/>
    </row>
    <row r="1067" spans="1:4" ht="15.75" thickBot="1" x14ac:dyDescent="0.3">
      <c r="A1067" s="93" t="s">
        <v>1624</v>
      </c>
      <c r="B1067" s="83" t="s">
        <v>509</v>
      </c>
      <c r="C1067" s="84">
        <v>0</v>
      </c>
      <c r="D1067" s="81"/>
    </row>
    <row r="1068" spans="1:4" ht="15.75" thickBot="1" x14ac:dyDescent="0.3">
      <c r="A1068" s="93" t="s">
        <v>1625</v>
      </c>
      <c r="B1068" s="83" t="s">
        <v>296</v>
      </c>
      <c r="C1068" s="84">
        <v>0</v>
      </c>
      <c r="D1068" s="81"/>
    </row>
    <row r="1069" spans="1:4" ht="15.75" thickBot="1" x14ac:dyDescent="0.3">
      <c r="A1069" s="93" t="s">
        <v>1626</v>
      </c>
      <c r="B1069" s="83" t="s">
        <v>596</v>
      </c>
      <c r="C1069" s="84">
        <v>0</v>
      </c>
      <c r="D1069" s="81"/>
    </row>
    <row r="1070" spans="1:4" ht="15.75" thickBot="1" x14ac:dyDescent="0.3">
      <c r="A1070" s="93" t="s">
        <v>1627</v>
      </c>
      <c r="B1070" s="83" t="s">
        <v>296</v>
      </c>
      <c r="C1070" s="84">
        <v>0</v>
      </c>
      <c r="D1070" s="81"/>
    </row>
    <row r="1071" spans="1:4" ht="15.75" thickBot="1" x14ac:dyDescent="0.3">
      <c r="A1071" s="93" t="s">
        <v>1628</v>
      </c>
      <c r="B1071" s="83" t="s">
        <v>509</v>
      </c>
      <c r="C1071" s="84">
        <v>0</v>
      </c>
      <c r="D1071" s="81"/>
    </row>
    <row r="1072" spans="1:4" ht="15.75" thickBot="1" x14ac:dyDescent="0.3">
      <c r="A1072" s="93" t="s">
        <v>1629</v>
      </c>
      <c r="B1072" s="83" t="s">
        <v>596</v>
      </c>
      <c r="C1072" s="84">
        <v>0</v>
      </c>
      <c r="D1072" s="81"/>
    </row>
    <row r="1073" spans="1:4" ht="15.75" thickBot="1" x14ac:dyDescent="0.3">
      <c r="A1073" s="93" t="s">
        <v>1630</v>
      </c>
      <c r="B1073" s="83" t="s">
        <v>296</v>
      </c>
      <c r="C1073" s="84">
        <v>0</v>
      </c>
      <c r="D1073" s="81"/>
    </row>
    <row r="1074" spans="1:4" ht="15.75" thickBot="1" x14ac:dyDescent="0.3">
      <c r="A1074" s="93" t="s">
        <v>1631</v>
      </c>
      <c r="B1074" s="83" t="s">
        <v>596</v>
      </c>
      <c r="C1074" s="84">
        <v>0</v>
      </c>
      <c r="D1074" s="81"/>
    </row>
    <row r="1075" spans="1:4" ht="15.75" thickBot="1" x14ac:dyDescent="0.3">
      <c r="A1075" s="93" t="s">
        <v>1632</v>
      </c>
      <c r="B1075" s="83" t="s">
        <v>296</v>
      </c>
      <c r="C1075" s="84">
        <v>0</v>
      </c>
      <c r="D1075" s="81"/>
    </row>
    <row r="1076" spans="1:4" ht="15.75" thickBot="1" x14ac:dyDescent="0.3">
      <c r="A1076" s="93" t="s">
        <v>1633</v>
      </c>
      <c r="B1076" s="83" t="s">
        <v>596</v>
      </c>
      <c r="C1076" s="84">
        <v>0</v>
      </c>
      <c r="D1076" s="81"/>
    </row>
    <row r="1077" spans="1:4" ht="15.75" thickBot="1" x14ac:dyDescent="0.3">
      <c r="A1077" s="93" t="s">
        <v>1634</v>
      </c>
      <c r="B1077" s="83" t="s">
        <v>296</v>
      </c>
      <c r="C1077" s="84">
        <v>0</v>
      </c>
      <c r="D1077" s="81"/>
    </row>
    <row r="1078" spans="1:4" ht="15.75" thickBot="1" x14ac:dyDescent="0.3">
      <c r="A1078" s="93" t="s">
        <v>1635</v>
      </c>
      <c r="B1078" s="83" t="s">
        <v>509</v>
      </c>
      <c r="C1078" s="84">
        <v>0</v>
      </c>
      <c r="D1078" s="81"/>
    </row>
    <row r="1079" spans="1:4" ht="15.75" thickBot="1" x14ac:dyDescent="0.3">
      <c r="A1079" s="93" t="s">
        <v>1636</v>
      </c>
      <c r="B1079" s="83" t="s">
        <v>544</v>
      </c>
      <c r="C1079" s="84">
        <v>0</v>
      </c>
      <c r="D1079" s="81"/>
    </row>
    <row r="1080" spans="1:4" ht="15.75" thickBot="1" x14ac:dyDescent="0.3">
      <c r="A1080" s="93" t="s">
        <v>1637</v>
      </c>
      <c r="B1080" s="83" t="s">
        <v>494</v>
      </c>
      <c r="C1080" s="84">
        <v>0</v>
      </c>
      <c r="D1080" s="81"/>
    </row>
    <row r="1081" spans="1:4" ht="15.75" thickBot="1" x14ac:dyDescent="0.3">
      <c r="A1081" s="93" t="s">
        <v>1638</v>
      </c>
      <c r="B1081" s="83" t="s">
        <v>494</v>
      </c>
      <c r="C1081" s="84">
        <v>0</v>
      </c>
      <c r="D1081" s="81"/>
    </row>
    <row r="1082" spans="1:4" ht="15.75" thickBot="1" x14ac:dyDescent="0.3">
      <c r="A1082" s="93" t="s">
        <v>1639</v>
      </c>
      <c r="B1082" s="83" t="s">
        <v>494</v>
      </c>
      <c r="C1082" s="84">
        <v>0</v>
      </c>
      <c r="D1082" s="81"/>
    </row>
    <row r="1083" spans="1:4" ht="15.75" thickBot="1" x14ac:dyDescent="0.3">
      <c r="A1083" s="93" t="s">
        <v>1640</v>
      </c>
      <c r="B1083" s="83" t="s">
        <v>494</v>
      </c>
      <c r="C1083" s="84">
        <v>0</v>
      </c>
      <c r="D1083" s="81"/>
    </row>
    <row r="1084" spans="1:4" ht="15.75" thickBot="1" x14ac:dyDescent="0.3">
      <c r="A1084" s="93" t="s">
        <v>1641</v>
      </c>
      <c r="B1084" s="83" t="s">
        <v>494</v>
      </c>
      <c r="C1084" s="84">
        <v>0</v>
      </c>
      <c r="D1084" s="81"/>
    </row>
    <row r="1085" spans="1:4" ht="15.75" thickBot="1" x14ac:dyDescent="0.3">
      <c r="A1085" s="93" t="s">
        <v>1642</v>
      </c>
      <c r="B1085" s="83" t="s">
        <v>494</v>
      </c>
      <c r="C1085" s="84">
        <v>0</v>
      </c>
      <c r="D1085" s="81"/>
    </row>
    <row r="1086" spans="1:4" ht="15.75" thickBot="1" x14ac:dyDescent="0.3">
      <c r="A1086" s="93" t="s">
        <v>1643</v>
      </c>
      <c r="B1086" s="83" t="s">
        <v>494</v>
      </c>
      <c r="C1086" s="84">
        <v>0</v>
      </c>
      <c r="D1086" s="81"/>
    </row>
    <row r="1087" spans="1:4" ht="15.75" thickBot="1" x14ac:dyDescent="0.3">
      <c r="A1087" s="93" t="s">
        <v>1644</v>
      </c>
      <c r="B1087" s="83" t="s">
        <v>494</v>
      </c>
      <c r="C1087" s="84">
        <v>0</v>
      </c>
      <c r="D1087" s="81"/>
    </row>
    <row r="1088" spans="1:4" ht="15.75" thickBot="1" x14ac:dyDescent="0.3">
      <c r="A1088" s="93" t="s">
        <v>1645</v>
      </c>
      <c r="B1088" s="83" t="s">
        <v>296</v>
      </c>
      <c r="C1088" s="84">
        <v>0</v>
      </c>
      <c r="D1088" s="64"/>
    </row>
    <row r="1089" spans="1:4" ht="15.75" thickBot="1" x14ac:dyDescent="0.3">
      <c r="A1089" s="93" t="s">
        <v>1646</v>
      </c>
      <c r="B1089" s="83" t="s">
        <v>509</v>
      </c>
      <c r="C1089" s="84">
        <v>0</v>
      </c>
      <c r="D1089" s="81"/>
    </row>
    <row r="1090" spans="1:4" ht="15.75" thickBot="1" x14ac:dyDescent="0.3">
      <c r="A1090" s="93" t="s">
        <v>1647</v>
      </c>
      <c r="B1090" s="83" t="s">
        <v>511</v>
      </c>
      <c r="C1090" s="84">
        <v>0</v>
      </c>
      <c r="D1090" s="81"/>
    </row>
    <row r="1091" spans="1:4" ht="15.75" thickBot="1" x14ac:dyDescent="0.3">
      <c r="A1091" s="93" t="s">
        <v>1648</v>
      </c>
      <c r="B1091" s="83" t="s">
        <v>439</v>
      </c>
      <c r="C1091" s="84">
        <v>0</v>
      </c>
      <c r="D1091" s="81"/>
    </row>
    <row r="1092" spans="1:4" ht="15.75" thickBot="1" x14ac:dyDescent="0.3">
      <c r="A1092" s="93" t="s">
        <v>1649</v>
      </c>
      <c r="B1092" s="83" t="s">
        <v>546</v>
      </c>
      <c r="C1092" s="84">
        <v>0</v>
      </c>
      <c r="D1092" s="81"/>
    </row>
    <row r="1093" spans="1:4" ht="15.75" thickBot="1" x14ac:dyDescent="0.3">
      <c r="A1093" s="93" t="s">
        <v>1650</v>
      </c>
      <c r="B1093" s="83" t="s">
        <v>546</v>
      </c>
      <c r="C1093" s="84">
        <v>0</v>
      </c>
      <c r="D1093" s="81"/>
    </row>
    <row r="1094" spans="1:4" ht="15.75" thickBot="1" x14ac:dyDescent="0.3">
      <c r="A1094" s="93" t="s">
        <v>1651</v>
      </c>
      <c r="B1094" s="83" t="s">
        <v>296</v>
      </c>
      <c r="C1094" s="84">
        <v>0</v>
      </c>
      <c r="D1094" s="64"/>
    </row>
    <row r="1095" spans="1:4" ht="15.75" thickBot="1" x14ac:dyDescent="0.3">
      <c r="A1095" s="93" t="s">
        <v>1652</v>
      </c>
      <c r="B1095" s="83" t="s">
        <v>296</v>
      </c>
      <c r="C1095" s="84">
        <v>0</v>
      </c>
      <c r="D1095" s="91" t="s">
        <v>1653</v>
      </c>
    </row>
    <row r="1096" spans="1:4" ht="15.75" thickBot="1" x14ac:dyDescent="0.3">
      <c r="A1096" s="93" t="s">
        <v>1654</v>
      </c>
      <c r="B1096" s="83" t="s">
        <v>544</v>
      </c>
      <c r="C1096" s="84">
        <v>0</v>
      </c>
      <c r="D1096" s="64"/>
    </row>
    <row r="1097" spans="1:4" ht="15.75" thickBot="1" x14ac:dyDescent="0.3">
      <c r="A1097" s="93" t="s">
        <v>1655</v>
      </c>
      <c r="B1097" s="83" t="s">
        <v>296</v>
      </c>
      <c r="C1097" s="84">
        <v>0</v>
      </c>
      <c r="D1097" s="91" t="s">
        <v>1656</v>
      </c>
    </row>
    <row r="1098" spans="1:4" ht="15.75" thickBot="1" x14ac:dyDescent="0.3">
      <c r="A1098" s="93" t="s">
        <v>1657</v>
      </c>
      <c r="B1098" s="83" t="s">
        <v>509</v>
      </c>
      <c r="C1098" s="84">
        <v>0</v>
      </c>
      <c r="D1098" s="64"/>
    </row>
    <row r="1099" spans="1:4" ht="27" thickBot="1" x14ac:dyDescent="0.3">
      <c r="A1099" s="93" t="s">
        <v>1658</v>
      </c>
      <c r="B1099" s="83" t="s">
        <v>511</v>
      </c>
      <c r="C1099" s="84">
        <v>0</v>
      </c>
      <c r="D1099" s="81" t="s">
        <v>1572</v>
      </c>
    </row>
    <row r="1100" spans="1:4" ht="15.75" thickBot="1" x14ac:dyDescent="0.3">
      <c r="A1100" s="93" t="s">
        <v>1659</v>
      </c>
      <c r="B1100" s="83" t="s">
        <v>439</v>
      </c>
      <c r="C1100" s="84">
        <v>0</v>
      </c>
      <c r="D1100" s="81"/>
    </row>
    <row r="1101" spans="1:4" ht="15.75" thickBot="1" x14ac:dyDescent="0.3">
      <c r="A1101" s="93" t="s">
        <v>1660</v>
      </c>
      <c r="B1101" s="83" t="s">
        <v>296</v>
      </c>
      <c r="C1101" s="84">
        <v>0</v>
      </c>
      <c r="D1101" s="81"/>
    </row>
    <row r="1102" spans="1:4" ht="15.75" thickBot="1" x14ac:dyDescent="0.3">
      <c r="A1102" s="93" t="s">
        <v>1661</v>
      </c>
      <c r="B1102" s="83" t="s">
        <v>509</v>
      </c>
      <c r="C1102" s="84">
        <v>0</v>
      </c>
      <c r="D1102" s="81"/>
    </row>
    <row r="1103" spans="1:4" ht="15.75" thickBot="1" x14ac:dyDescent="0.3">
      <c r="A1103" s="93" t="s">
        <v>1662</v>
      </c>
      <c r="B1103" s="83" t="s">
        <v>511</v>
      </c>
      <c r="C1103" s="84">
        <v>0</v>
      </c>
      <c r="D1103" s="81"/>
    </row>
    <row r="1104" spans="1:4" ht="15.75" thickBot="1" x14ac:dyDescent="0.3">
      <c r="A1104" s="93" t="s">
        <v>1663</v>
      </c>
      <c r="B1104" s="83" t="s">
        <v>439</v>
      </c>
      <c r="C1104" s="84">
        <v>0</v>
      </c>
      <c r="D1104" s="81"/>
    </row>
    <row r="1105" spans="1:4" ht="15.75" thickBot="1" x14ac:dyDescent="0.3">
      <c r="A1105" s="93" t="s">
        <v>1664</v>
      </c>
      <c r="B1105" s="83" t="s">
        <v>296</v>
      </c>
      <c r="C1105" s="84">
        <v>0</v>
      </c>
      <c r="D1105" s="81"/>
    </row>
    <row r="1106" spans="1:4" ht="15.75" thickBot="1" x14ac:dyDescent="0.3">
      <c r="A1106" s="93" t="s">
        <v>1665</v>
      </c>
      <c r="B1106" s="83" t="s">
        <v>509</v>
      </c>
      <c r="C1106" s="84">
        <v>0</v>
      </c>
      <c r="D1106" s="81"/>
    </row>
    <row r="1107" spans="1:4" ht="15.75" thickBot="1" x14ac:dyDescent="0.3">
      <c r="A1107" s="93" t="s">
        <v>1666</v>
      </c>
      <c r="B1107" s="83" t="s">
        <v>511</v>
      </c>
      <c r="C1107" s="84">
        <v>0</v>
      </c>
      <c r="D1107" s="81"/>
    </row>
    <row r="1108" spans="1:4" ht="15.75" thickBot="1" x14ac:dyDescent="0.3">
      <c r="A1108" s="93" t="s">
        <v>1667</v>
      </c>
      <c r="B1108" s="83" t="s">
        <v>439</v>
      </c>
      <c r="C1108" s="84">
        <v>0</v>
      </c>
      <c r="D1108" s="81"/>
    </row>
    <row r="1109" spans="1:4" ht="15.75" thickBot="1" x14ac:dyDescent="0.3">
      <c r="A1109" s="93" t="s">
        <v>1668</v>
      </c>
      <c r="B1109" s="83" t="s">
        <v>296</v>
      </c>
      <c r="C1109" s="84">
        <v>0</v>
      </c>
      <c r="D1109" s="81"/>
    </row>
    <row r="1110" spans="1:4" ht="15.75" thickBot="1" x14ac:dyDescent="0.3">
      <c r="A1110" s="93" t="s">
        <v>1669</v>
      </c>
      <c r="B1110" s="83" t="s">
        <v>509</v>
      </c>
      <c r="C1110" s="84">
        <v>0</v>
      </c>
      <c r="D1110" s="81"/>
    </row>
    <row r="1111" spans="1:4" ht="15.75" thickBot="1" x14ac:dyDescent="0.3">
      <c r="A1111" s="93" t="s">
        <v>1670</v>
      </c>
      <c r="B1111" s="83" t="s">
        <v>439</v>
      </c>
      <c r="C1111" s="84">
        <v>0</v>
      </c>
      <c r="D1111" s="81"/>
    </row>
    <row r="1112" spans="1:4" ht="15.75" thickBot="1" x14ac:dyDescent="0.3">
      <c r="A1112" s="93" t="s">
        <v>1671</v>
      </c>
      <c r="B1112" s="83" t="s">
        <v>296</v>
      </c>
      <c r="C1112" s="84">
        <v>0</v>
      </c>
      <c r="D1112" s="81"/>
    </row>
    <row r="1113" spans="1:4" ht="15.75" thickBot="1" x14ac:dyDescent="0.3">
      <c r="A1113" s="93" t="s">
        <v>1672</v>
      </c>
      <c r="B1113" s="83" t="s">
        <v>509</v>
      </c>
      <c r="C1113" s="84">
        <v>0</v>
      </c>
      <c r="D1113" s="81"/>
    </row>
    <row r="1114" spans="1:4" ht="15.75" thickBot="1" x14ac:dyDescent="0.3">
      <c r="A1114" s="93" t="s">
        <v>1673</v>
      </c>
      <c r="B1114" s="83" t="s">
        <v>511</v>
      </c>
      <c r="C1114" s="84">
        <v>0</v>
      </c>
      <c r="D1114" s="81"/>
    </row>
    <row r="1115" spans="1:4" ht="15.75" thickBot="1" x14ac:dyDescent="0.3">
      <c r="A1115" s="93" t="s">
        <v>1674</v>
      </c>
      <c r="B1115" s="83" t="s">
        <v>439</v>
      </c>
      <c r="C1115" s="84">
        <v>0</v>
      </c>
      <c r="D1115" s="81"/>
    </row>
    <row r="1116" spans="1:4" ht="15.75" thickBot="1" x14ac:dyDescent="0.3">
      <c r="A1116" s="93" t="s">
        <v>1675</v>
      </c>
      <c r="B1116" s="83" t="s">
        <v>296</v>
      </c>
      <c r="C1116" s="84">
        <v>0</v>
      </c>
      <c r="D1116" s="81"/>
    </row>
    <row r="1117" spans="1:4" ht="15.75" thickBot="1" x14ac:dyDescent="0.3">
      <c r="A1117" s="93" t="s">
        <v>1676</v>
      </c>
      <c r="B1117" s="83" t="s">
        <v>509</v>
      </c>
      <c r="C1117" s="84">
        <v>0</v>
      </c>
      <c r="D1117" s="81"/>
    </row>
    <row r="1118" spans="1:4" ht="15.75" thickBot="1" x14ac:dyDescent="0.3">
      <c r="A1118" s="93" t="s">
        <v>1677</v>
      </c>
      <c r="B1118" s="83" t="s">
        <v>511</v>
      </c>
      <c r="C1118" s="84">
        <v>0</v>
      </c>
      <c r="D1118" s="81"/>
    </row>
    <row r="1119" spans="1:4" ht="15.75" thickBot="1" x14ac:dyDescent="0.3">
      <c r="A1119" s="93" t="s">
        <v>1678</v>
      </c>
      <c r="B1119" s="83" t="s">
        <v>439</v>
      </c>
      <c r="C1119" s="84">
        <v>0</v>
      </c>
      <c r="D1119" s="81"/>
    </row>
    <row r="1120" spans="1:4" ht="15.75" thickBot="1" x14ac:dyDescent="0.3">
      <c r="A1120" s="93" t="s">
        <v>1679</v>
      </c>
      <c r="B1120" s="83" t="s">
        <v>494</v>
      </c>
      <c r="C1120" s="84">
        <v>0</v>
      </c>
      <c r="D1120" s="81"/>
    </row>
    <row r="1121" spans="1:4" ht="15.75" thickBot="1" x14ac:dyDescent="0.3">
      <c r="A1121" s="93" t="s">
        <v>1680</v>
      </c>
      <c r="B1121" s="83" t="s">
        <v>494</v>
      </c>
      <c r="C1121" s="84">
        <v>0</v>
      </c>
      <c r="D1121" s="81"/>
    </row>
    <row r="1122" spans="1:4" ht="15.75" thickBot="1" x14ac:dyDescent="0.3">
      <c r="A1122" s="93" t="s">
        <v>1681</v>
      </c>
      <c r="B1122" s="83" t="s">
        <v>494</v>
      </c>
      <c r="C1122" s="84">
        <v>0</v>
      </c>
      <c r="D1122" s="64"/>
    </row>
    <row r="1123" spans="1:4" ht="15.75" thickBot="1" x14ac:dyDescent="0.3">
      <c r="A1123" s="93" t="s">
        <v>1682</v>
      </c>
      <c r="B1123" s="83" t="s">
        <v>494</v>
      </c>
      <c r="C1123" s="84">
        <v>0</v>
      </c>
      <c r="D1123" s="81"/>
    </row>
    <row r="1124" spans="1:4" ht="15.75" thickBot="1" x14ac:dyDescent="0.3">
      <c r="A1124" s="93" t="s">
        <v>1683</v>
      </c>
      <c r="B1124" s="83" t="s">
        <v>494</v>
      </c>
      <c r="C1124" s="84">
        <v>0</v>
      </c>
      <c r="D1124" s="64"/>
    </row>
    <row r="1125" spans="1:4" ht="15.75" thickBot="1" x14ac:dyDescent="0.3">
      <c r="A1125" s="93" t="s">
        <v>1684</v>
      </c>
      <c r="B1125" s="83" t="s">
        <v>544</v>
      </c>
      <c r="C1125" s="84">
        <v>0</v>
      </c>
      <c r="D1125" s="81"/>
    </row>
    <row r="1126" spans="1:4" ht="15.75" thickBot="1" x14ac:dyDescent="0.3">
      <c r="A1126" s="93" t="s">
        <v>1685</v>
      </c>
      <c r="B1126" s="83" t="s">
        <v>546</v>
      </c>
      <c r="C1126" s="84">
        <v>0</v>
      </c>
      <c r="D1126" s="64"/>
    </row>
    <row r="1127" spans="1:4" ht="15.75" thickBot="1" x14ac:dyDescent="0.3">
      <c r="A1127" s="93" t="s">
        <v>1686</v>
      </c>
      <c r="B1127" s="83" t="s">
        <v>596</v>
      </c>
      <c r="C1127" s="84">
        <v>0</v>
      </c>
      <c r="D1127" s="81"/>
    </row>
    <row r="1128" spans="1:4" ht="15.75" thickBot="1" x14ac:dyDescent="0.3">
      <c r="A1128" s="93" t="s">
        <v>1687</v>
      </c>
      <c r="B1128" s="83" t="s">
        <v>296</v>
      </c>
      <c r="C1128" s="84">
        <v>0</v>
      </c>
      <c r="D1128" s="81"/>
    </row>
    <row r="1129" spans="1:4" ht="15.75" thickBot="1" x14ac:dyDescent="0.3">
      <c r="A1129" s="93" t="s">
        <v>1688</v>
      </c>
      <c r="B1129" s="83" t="s">
        <v>509</v>
      </c>
      <c r="C1129" s="84">
        <v>0</v>
      </c>
      <c r="D1129" s="81"/>
    </row>
    <row r="1130" spans="1:4" ht="15.75" thickBot="1" x14ac:dyDescent="0.3">
      <c r="A1130" s="93" t="s">
        <v>1689</v>
      </c>
      <c r="B1130" s="83" t="s">
        <v>439</v>
      </c>
      <c r="C1130" s="84">
        <v>0</v>
      </c>
      <c r="D1130" s="81"/>
    </row>
    <row r="1131" spans="1:4" ht="15.75" thickBot="1" x14ac:dyDescent="0.3">
      <c r="A1131" s="93" t="s">
        <v>1690</v>
      </c>
      <c r="B1131" s="83" t="s">
        <v>296</v>
      </c>
      <c r="C1131" s="84">
        <v>0</v>
      </c>
      <c r="D1131" s="81"/>
    </row>
    <row r="1132" spans="1:4" ht="15.75" thickBot="1" x14ac:dyDescent="0.3">
      <c r="A1132" s="93" t="s">
        <v>1691</v>
      </c>
      <c r="B1132" s="83" t="s">
        <v>1429</v>
      </c>
      <c r="C1132" s="84">
        <v>0</v>
      </c>
      <c r="D1132" s="81"/>
    </row>
    <row r="1133" spans="1:4" ht="15.75" thickBot="1" x14ac:dyDescent="0.3">
      <c r="A1133" s="93" t="s">
        <v>1692</v>
      </c>
      <c r="B1133" s="83" t="s">
        <v>296</v>
      </c>
      <c r="C1133" s="84">
        <v>0</v>
      </c>
      <c r="D1133" s="81"/>
    </row>
    <row r="1134" spans="1:4" ht="15.75" thickBot="1" x14ac:dyDescent="0.3">
      <c r="A1134" s="93" t="s">
        <v>1693</v>
      </c>
      <c r="B1134" s="83" t="s">
        <v>1429</v>
      </c>
      <c r="C1134" s="84">
        <v>0</v>
      </c>
      <c r="D1134" s="81"/>
    </row>
    <row r="1135" spans="1:4" ht="15.75" thickBot="1" x14ac:dyDescent="0.3">
      <c r="A1135" s="93" t="s">
        <v>1694</v>
      </c>
      <c r="B1135" s="83" t="s">
        <v>511</v>
      </c>
      <c r="C1135" s="84">
        <v>0</v>
      </c>
      <c r="D1135" s="81"/>
    </row>
    <row r="1136" spans="1:4" ht="15.75" thickBot="1" x14ac:dyDescent="0.3">
      <c r="A1136" s="93" t="s">
        <v>1695</v>
      </c>
      <c r="B1136" s="83" t="s">
        <v>439</v>
      </c>
      <c r="C1136" s="84">
        <v>0</v>
      </c>
      <c r="D1136" s="81"/>
    </row>
    <row r="1137" spans="1:4" ht="15.75" thickBot="1" x14ac:dyDescent="0.3">
      <c r="A1137" s="93" t="s">
        <v>1696</v>
      </c>
      <c r="B1137" s="83" t="s">
        <v>596</v>
      </c>
      <c r="C1137" s="85">
        <v>14</v>
      </c>
      <c r="D1137" s="81"/>
    </row>
    <row r="1138" spans="1:4" ht="15.75" thickBot="1" x14ac:dyDescent="0.3">
      <c r="A1138" s="93" t="s">
        <v>1697</v>
      </c>
      <c r="B1138" s="83" t="s">
        <v>596</v>
      </c>
      <c r="C1138" s="84">
        <v>0</v>
      </c>
      <c r="D1138" s="81"/>
    </row>
    <row r="1139" spans="1:4" ht="15.75" thickBot="1" x14ac:dyDescent="0.3">
      <c r="A1139" s="93" t="s">
        <v>1698</v>
      </c>
      <c r="B1139" s="83" t="s">
        <v>296</v>
      </c>
      <c r="C1139" s="85">
        <v>10</v>
      </c>
      <c r="D1139" s="81"/>
    </row>
    <row r="1140" spans="1:4" ht="15.75" thickBot="1" x14ac:dyDescent="0.3">
      <c r="A1140" s="93" t="s">
        <v>1699</v>
      </c>
      <c r="B1140" s="83" t="s">
        <v>296</v>
      </c>
      <c r="C1140" s="84">
        <v>0</v>
      </c>
      <c r="D1140" s="81"/>
    </row>
    <row r="1141" spans="1:4" ht="15.75" thickBot="1" x14ac:dyDescent="0.3">
      <c r="A1141" s="93" t="s">
        <v>1700</v>
      </c>
      <c r="B1141" s="83" t="s">
        <v>509</v>
      </c>
      <c r="C1141" s="86">
        <v>5</v>
      </c>
      <c r="D1141" s="81"/>
    </row>
    <row r="1142" spans="1:4" ht="15.75" thickBot="1" x14ac:dyDescent="0.3">
      <c r="A1142" s="93" t="s">
        <v>1701</v>
      </c>
      <c r="B1142" s="83" t="s">
        <v>509</v>
      </c>
      <c r="C1142" s="84">
        <v>0</v>
      </c>
      <c r="D1142" s="64"/>
    </row>
    <row r="1143" spans="1:4" ht="15.75" thickBot="1" x14ac:dyDescent="0.3">
      <c r="A1143" s="93" t="s">
        <v>1702</v>
      </c>
      <c r="B1143" s="83" t="s">
        <v>439</v>
      </c>
      <c r="C1143" s="84">
        <v>0</v>
      </c>
      <c r="D1143" s="64"/>
    </row>
    <row r="1144" spans="1:4" ht="15.75" thickBot="1" x14ac:dyDescent="0.3">
      <c r="A1144" s="93" t="s">
        <v>1703</v>
      </c>
      <c r="B1144" s="83" t="s">
        <v>544</v>
      </c>
      <c r="C1144" s="84">
        <v>0</v>
      </c>
      <c r="D1144" s="64"/>
    </row>
    <row r="1145" spans="1:4" ht="15.75" thickBot="1" x14ac:dyDescent="0.3">
      <c r="A1145" s="93" t="s">
        <v>1704</v>
      </c>
      <c r="B1145" s="83" t="s">
        <v>544</v>
      </c>
      <c r="C1145" s="84">
        <v>0</v>
      </c>
      <c r="D1145" s="81"/>
    </row>
    <row r="1146" spans="1:4" ht="15.75" thickBot="1" x14ac:dyDescent="0.3">
      <c r="A1146" s="93" t="s">
        <v>1705</v>
      </c>
      <c r="B1146" s="83" t="s">
        <v>544</v>
      </c>
      <c r="C1146" s="84">
        <v>0</v>
      </c>
      <c r="D1146" s="81"/>
    </row>
    <row r="1147" spans="1:4" ht="15.75" thickBot="1" x14ac:dyDescent="0.3">
      <c r="A1147" s="93" t="s">
        <v>1706</v>
      </c>
      <c r="B1147" s="83" t="s">
        <v>544</v>
      </c>
      <c r="C1147" s="84">
        <v>0</v>
      </c>
      <c r="D1147" s="81"/>
    </row>
    <row r="1148" spans="1:4" ht="15.75" thickBot="1" x14ac:dyDescent="0.3">
      <c r="A1148" s="93" t="s">
        <v>1707</v>
      </c>
      <c r="B1148" s="83" t="s">
        <v>544</v>
      </c>
      <c r="C1148" s="84">
        <v>0</v>
      </c>
      <c r="D1148" s="81"/>
    </row>
    <row r="1149" spans="1:4" ht="15.75" thickBot="1" x14ac:dyDescent="0.3">
      <c r="A1149" s="93" t="s">
        <v>1708</v>
      </c>
      <c r="B1149" s="83" t="s">
        <v>544</v>
      </c>
      <c r="C1149" s="84">
        <v>0</v>
      </c>
      <c r="D1149" s="81"/>
    </row>
    <row r="1150" spans="1:4" ht="15.75" thickBot="1" x14ac:dyDescent="0.3">
      <c r="A1150" s="93" t="s">
        <v>1709</v>
      </c>
      <c r="B1150" s="83" t="s">
        <v>544</v>
      </c>
      <c r="C1150" s="84">
        <v>0</v>
      </c>
      <c r="D1150" s="81"/>
    </row>
    <row r="1151" spans="1:4" ht="15.75" thickBot="1" x14ac:dyDescent="0.3">
      <c r="A1151" s="93" t="s">
        <v>1710</v>
      </c>
      <c r="B1151" s="83" t="s">
        <v>544</v>
      </c>
      <c r="C1151" s="84">
        <v>0</v>
      </c>
      <c r="D1151" s="81"/>
    </row>
    <row r="1152" spans="1:4" ht="15.75" thickBot="1" x14ac:dyDescent="0.3">
      <c r="A1152" s="93" t="s">
        <v>1711</v>
      </c>
      <c r="B1152" s="83" t="s">
        <v>544</v>
      </c>
      <c r="C1152" s="84">
        <v>0</v>
      </c>
      <c r="D1152" s="81"/>
    </row>
    <row r="1153" spans="1:4" ht="15.75" thickBot="1" x14ac:dyDescent="0.3">
      <c r="A1153" s="93" t="s">
        <v>1712</v>
      </c>
      <c r="B1153" s="83" t="s">
        <v>544</v>
      </c>
      <c r="C1153" s="84">
        <v>0</v>
      </c>
      <c r="D1153" s="81"/>
    </row>
    <row r="1154" spans="1:4" ht="15.75" thickBot="1" x14ac:dyDescent="0.3">
      <c r="A1154" s="93" t="s">
        <v>1713</v>
      </c>
      <c r="B1154" s="83" t="s">
        <v>494</v>
      </c>
      <c r="C1154" s="84">
        <v>0</v>
      </c>
      <c r="D1154" s="81"/>
    </row>
    <row r="1155" spans="1:4" ht="15.75" thickBot="1" x14ac:dyDescent="0.3">
      <c r="A1155" s="93" t="s">
        <v>1714</v>
      </c>
      <c r="B1155" s="83" t="s">
        <v>1153</v>
      </c>
      <c r="C1155" s="84">
        <v>-0.27400000000000002</v>
      </c>
      <c r="D1155" s="81"/>
    </row>
    <row r="1156" spans="1:4" ht="15.75" thickBot="1" x14ac:dyDescent="0.3">
      <c r="A1156" s="93" t="s">
        <v>1715</v>
      </c>
      <c r="B1156" s="83" t="s">
        <v>1153</v>
      </c>
      <c r="C1156" s="84">
        <v>0</v>
      </c>
      <c r="D1156" s="81"/>
    </row>
    <row r="1157" spans="1:4" ht="15.75" thickBot="1" x14ac:dyDescent="0.3">
      <c r="A1157" s="93" t="s">
        <v>1716</v>
      </c>
      <c r="B1157" s="83" t="s">
        <v>1153</v>
      </c>
      <c r="C1157" s="84">
        <v>0</v>
      </c>
      <c r="D1157" s="81"/>
    </row>
    <row r="1158" spans="1:4" ht="15.75" thickBot="1" x14ac:dyDescent="0.3">
      <c r="A1158" s="93" t="s">
        <v>1717</v>
      </c>
      <c r="B1158" s="83" t="s">
        <v>1153</v>
      </c>
      <c r="C1158" s="84">
        <v>0</v>
      </c>
      <c r="D1158" s="81"/>
    </row>
    <row r="1159" spans="1:4" ht="15.75" thickBot="1" x14ac:dyDescent="0.3">
      <c r="A1159" s="93" t="s">
        <v>1718</v>
      </c>
      <c r="B1159" s="83" t="s">
        <v>459</v>
      </c>
      <c r="C1159" s="84">
        <v>0</v>
      </c>
      <c r="D1159" s="81"/>
    </row>
    <row r="1160" spans="1:4" ht="15.75" thickBot="1" x14ac:dyDescent="0.3">
      <c r="A1160" s="93" t="s">
        <v>1719</v>
      </c>
      <c r="B1160" s="83" t="s">
        <v>459</v>
      </c>
      <c r="C1160" s="84">
        <v>0</v>
      </c>
      <c r="D1160" s="81"/>
    </row>
    <row r="1161" spans="1:4" ht="15.75" thickBot="1" x14ac:dyDescent="0.3">
      <c r="A1161" s="93" t="s">
        <v>1720</v>
      </c>
      <c r="B1161" s="83" t="s">
        <v>779</v>
      </c>
      <c r="C1161" s="84">
        <v>0</v>
      </c>
      <c r="D1161" s="81"/>
    </row>
    <row r="1162" spans="1:4" ht="15.75" thickBot="1" x14ac:dyDescent="0.3">
      <c r="A1162" s="93" t="s">
        <v>1721</v>
      </c>
      <c r="B1162" s="83" t="s">
        <v>779</v>
      </c>
      <c r="C1162" s="84">
        <v>0</v>
      </c>
      <c r="D1162" s="81"/>
    </row>
    <row r="1163" spans="1:4" ht="15.75" thickBot="1" x14ac:dyDescent="0.3">
      <c r="A1163" s="93" t="s">
        <v>1722</v>
      </c>
      <c r="B1163" s="83" t="s">
        <v>494</v>
      </c>
      <c r="C1163" s="84">
        <v>0</v>
      </c>
      <c r="D1163" s="64"/>
    </row>
    <row r="1164" spans="1:4" ht="15.75" thickBot="1" x14ac:dyDescent="0.3">
      <c r="A1164" s="93" t="s">
        <v>1723</v>
      </c>
      <c r="B1164" s="83" t="s">
        <v>544</v>
      </c>
      <c r="C1164" s="84">
        <v>0</v>
      </c>
      <c r="D1164" s="64"/>
    </row>
    <row r="1165" spans="1:4" ht="15.75" thickBot="1" x14ac:dyDescent="0.3">
      <c r="A1165" s="93" t="s">
        <v>1724</v>
      </c>
      <c r="B1165" s="83" t="s">
        <v>544</v>
      </c>
      <c r="C1165" s="85">
        <v>992</v>
      </c>
      <c r="D1165" s="64"/>
    </row>
    <row r="1166" spans="1:4" ht="15.75" thickBot="1" x14ac:dyDescent="0.3">
      <c r="A1166" s="93" t="s">
        <v>1725</v>
      </c>
      <c r="B1166" s="83" t="s">
        <v>544</v>
      </c>
      <c r="C1166" s="84">
        <v>0</v>
      </c>
      <c r="D1166" s="94"/>
    </row>
    <row r="1167" spans="1:4" ht="15.75" thickBot="1" x14ac:dyDescent="0.3">
      <c r="A1167" s="93" t="s">
        <v>1726</v>
      </c>
      <c r="B1167" s="83" t="s">
        <v>459</v>
      </c>
      <c r="C1167" s="85">
        <v>18</v>
      </c>
      <c r="D1167" s="83"/>
    </row>
    <row r="1168" spans="1:4" ht="15.75" thickBot="1" x14ac:dyDescent="0.3">
      <c r="A1168" s="93" t="s">
        <v>1727</v>
      </c>
      <c r="B1168" s="83" t="s">
        <v>459</v>
      </c>
      <c r="C1168" s="84">
        <v>0</v>
      </c>
      <c r="D1168" s="83"/>
    </row>
    <row r="1169" spans="1:4" ht="15.75" thickBot="1" x14ac:dyDescent="0.3">
      <c r="A1169" s="93" t="s">
        <v>1728</v>
      </c>
      <c r="B1169" s="83" t="s">
        <v>1153</v>
      </c>
      <c r="C1169" s="85">
        <v>6</v>
      </c>
      <c r="D1169" s="83"/>
    </row>
    <row r="1170" spans="1:4" ht="15.75" thickBot="1" x14ac:dyDescent="0.3">
      <c r="A1170" s="93" t="s">
        <v>1729</v>
      </c>
      <c r="B1170" s="83" t="s">
        <v>494</v>
      </c>
      <c r="C1170" s="84">
        <v>0</v>
      </c>
      <c r="D1170" s="64"/>
    </row>
    <row r="1171" spans="1:4" ht="15.75" thickBot="1" x14ac:dyDescent="0.3">
      <c r="A1171" s="93" t="s">
        <v>1730</v>
      </c>
      <c r="B1171" s="83" t="s">
        <v>494</v>
      </c>
      <c r="C1171" s="84">
        <v>0</v>
      </c>
      <c r="D1171" s="64"/>
    </row>
    <row r="1172" spans="1:4" ht="15.75" thickBot="1" x14ac:dyDescent="0.3">
      <c r="A1172" s="93" t="s">
        <v>1731</v>
      </c>
      <c r="B1172" s="83" t="s">
        <v>494</v>
      </c>
      <c r="C1172" s="84">
        <v>0</v>
      </c>
      <c r="D1172" s="64"/>
    </row>
    <row r="1173" spans="1:4" ht="15.75" thickBot="1" x14ac:dyDescent="0.3">
      <c r="A1173" s="93" t="s">
        <v>1732</v>
      </c>
      <c r="B1173" s="83" t="s">
        <v>494</v>
      </c>
      <c r="C1173" s="84">
        <v>0</v>
      </c>
      <c r="D1173" s="64"/>
    </row>
    <row r="1174" spans="1:4" ht="15.75" thickBot="1" x14ac:dyDescent="0.3">
      <c r="A1174" s="93" t="s">
        <v>1733</v>
      </c>
      <c r="B1174" s="83" t="s">
        <v>494</v>
      </c>
      <c r="C1174" s="84">
        <v>0</v>
      </c>
      <c r="D1174" s="64"/>
    </row>
    <row r="1175" spans="1:4" ht="15.75" thickBot="1" x14ac:dyDescent="0.3">
      <c r="A1175" s="93" t="s">
        <v>1734</v>
      </c>
      <c r="B1175" s="83" t="s">
        <v>494</v>
      </c>
      <c r="C1175" s="84">
        <v>0</v>
      </c>
      <c r="D1175" s="64"/>
    </row>
    <row r="1176" spans="1:4" ht="15.75" thickBot="1" x14ac:dyDescent="0.3">
      <c r="A1176" s="93" t="s">
        <v>1735</v>
      </c>
      <c r="B1176" s="83" t="s">
        <v>494</v>
      </c>
      <c r="C1176" s="84">
        <v>0</v>
      </c>
      <c r="D1176" s="64"/>
    </row>
    <row r="1177" spans="1:4" ht="15.75" thickBot="1" x14ac:dyDescent="0.3">
      <c r="A1177" s="93" t="s">
        <v>1736</v>
      </c>
      <c r="B1177" s="83" t="s">
        <v>494</v>
      </c>
      <c r="C1177" s="84">
        <v>0</v>
      </c>
      <c r="D1177" s="64"/>
    </row>
    <row r="1178" spans="1:4" ht="15.75" thickBot="1" x14ac:dyDescent="0.3">
      <c r="A1178" s="93" t="s">
        <v>1737</v>
      </c>
      <c r="B1178" s="83" t="s">
        <v>494</v>
      </c>
      <c r="C1178" s="84">
        <v>0</v>
      </c>
      <c r="D1178" s="64"/>
    </row>
    <row r="1179" spans="1:4" ht="27" thickBot="1" x14ac:dyDescent="0.3">
      <c r="A1179" s="93" t="s">
        <v>1738</v>
      </c>
      <c r="B1179" s="83" t="s">
        <v>494</v>
      </c>
      <c r="C1179" s="84">
        <v>0</v>
      </c>
      <c r="D1179" s="64"/>
    </row>
    <row r="1180" spans="1:4" ht="15.75" thickBot="1" x14ac:dyDescent="0.3">
      <c r="A1180" s="93" t="s">
        <v>1739</v>
      </c>
      <c r="B1180" s="83" t="s">
        <v>494</v>
      </c>
      <c r="C1180" s="84">
        <v>0</v>
      </c>
      <c r="D1180" s="64"/>
    </row>
    <row r="1181" spans="1:4" ht="15.75" thickBot="1" x14ac:dyDescent="0.3">
      <c r="A1181" s="93" t="s">
        <v>1740</v>
      </c>
      <c r="B1181" s="83" t="s">
        <v>494</v>
      </c>
      <c r="C1181" s="84">
        <v>0</v>
      </c>
      <c r="D1181" s="64"/>
    </row>
    <row r="1182" spans="1:4" ht="15.75" thickBot="1" x14ac:dyDescent="0.3">
      <c r="A1182" s="93" t="s">
        <v>1741</v>
      </c>
      <c r="B1182" s="83" t="s">
        <v>459</v>
      </c>
      <c r="C1182" s="84">
        <v>0</v>
      </c>
      <c r="D1182" s="64"/>
    </row>
    <row r="1183" spans="1:4" ht="15.75" thickBot="1" x14ac:dyDescent="0.3">
      <c r="A1183" s="93" t="s">
        <v>1742</v>
      </c>
      <c r="B1183" s="83" t="s">
        <v>459</v>
      </c>
      <c r="C1183" s="84">
        <v>0</v>
      </c>
      <c r="D1183" s="64"/>
    </row>
    <row r="1184" spans="1:4" ht="15.75" thickBot="1" x14ac:dyDescent="0.3">
      <c r="A1184" s="93" t="s">
        <v>1743</v>
      </c>
      <c r="B1184" s="83" t="s">
        <v>459</v>
      </c>
      <c r="C1184" s="86">
        <v>3</v>
      </c>
      <c r="D1184" s="64"/>
    </row>
    <row r="1185" spans="1:4" ht="15.75" thickBot="1" x14ac:dyDescent="0.3">
      <c r="A1185" s="93" t="s">
        <v>1744</v>
      </c>
      <c r="B1185" s="83" t="s">
        <v>459</v>
      </c>
      <c r="C1185" s="84">
        <v>0</v>
      </c>
      <c r="D1185" s="64"/>
    </row>
    <row r="1186" spans="1:4" ht="15.75" thickBot="1" x14ac:dyDescent="0.3">
      <c r="A1186" s="93" t="s">
        <v>1745</v>
      </c>
      <c r="B1186" s="83" t="s">
        <v>544</v>
      </c>
      <c r="C1186" s="84">
        <v>0</v>
      </c>
      <c r="D1186" s="64"/>
    </row>
    <row r="1187" spans="1:4" ht="15.75" thickBot="1" x14ac:dyDescent="0.3">
      <c r="A1187" s="93" t="s">
        <v>1746</v>
      </c>
      <c r="B1187" s="83" t="s">
        <v>761</v>
      </c>
      <c r="C1187" s="85">
        <v>11</v>
      </c>
      <c r="D1187" s="64"/>
    </row>
    <row r="1188" spans="1:4" ht="15.75" thickBot="1" x14ac:dyDescent="0.3">
      <c r="A1188" s="93" t="s">
        <v>1747</v>
      </c>
      <c r="B1188" s="83" t="s">
        <v>596</v>
      </c>
      <c r="C1188" s="86">
        <v>3</v>
      </c>
      <c r="D1188" s="64"/>
    </row>
    <row r="1189" spans="1:4" ht="15.75" thickBot="1" x14ac:dyDescent="0.3">
      <c r="A1189" s="93" t="s">
        <v>1748</v>
      </c>
      <c r="B1189" s="83" t="s">
        <v>296</v>
      </c>
      <c r="C1189" s="84">
        <v>1</v>
      </c>
      <c r="D1189" s="64"/>
    </row>
    <row r="1190" spans="1:4" ht="15.75" thickBot="1" x14ac:dyDescent="0.3">
      <c r="A1190" s="93" t="s">
        <v>1749</v>
      </c>
      <c r="B1190" s="83" t="s">
        <v>761</v>
      </c>
      <c r="C1190" s="84">
        <v>0</v>
      </c>
      <c r="D1190" s="64"/>
    </row>
    <row r="1191" spans="1:4" ht="15.75" thickBot="1" x14ac:dyDescent="0.3">
      <c r="A1191" s="93" t="s">
        <v>1750</v>
      </c>
      <c r="B1191" s="83" t="s">
        <v>761</v>
      </c>
      <c r="C1191" s="84">
        <v>0</v>
      </c>
      <c r="D1191" s="64"/>
    </row>
    <row r="1192" spans="1:4" ht="15.75" thickBot="1" x14ac:dyDescent="0.3">
      <c r="A1192" s="93" t="s">
        <v>1751</v>
      </c>
      <c r="B1192" s="83" t="s">
        <v>761</v>
      </c>
      <c r="C1192" s="84">
        <v>0</v>
      </c>
      <c r="D1192" s="64"/>
    </row>
    <row r="1193" spans="1:4" ht="15.75" thickBot="1" x14ac:dyDescent="0.3">
      <c r="A1193" s="93" t="s">
        <v>1752</v>
      </c>
      <c r="B1193" s="83" t="s">
        <v>761</v>
      </c>
      <c r="C1193" s="84">
        <v>0</v>
      </c>
      <c r="D1193" s="64"/>
    </row>
    <row r="1194" spans="1:4" ht="15.75" thickBot="1" x14ac:dyDescent="0.3">
      <c r="A1194" s="93" t="s">
        <v>1753</v>
      </c>
      <c r="B1194" s="83" t="s">
        <v>761</v>
      </c>
      <c r="C1194" s="84">
        <v>0</v>
      </c>
      <c r="D1194" s="64"/>
    </row>
    <row r="1195" spans="1:4" ht="15.75" thickBot="1" x14ac:dyDescent="0.3">
      <c r="A1195" s="93" t="s">
        <v>1754</v>
      </c>
      <c r="B1195" s="83" t="s">
        <v>761</v>
      </c>
      <c r="C1195" s="84">
        <v>0</v>
      </c>
      <c r="D1195" s="64"/>
    </row>
    <row r="1196" spans="1:4" ht="15.75" thickBot="1" x14ac:dyDescent="0.3">
      <c r="A1196" s="93" t="s">
        <v>1755</v>
      </c>
      <c r="B1196" s="83" t="s">
        <v>761</v>
      </c>
      <c r="C1196" s="84">
        <v>0</v>
      </c>
      <c r="D1196" s="64"/>
    </row>
    <row r="1197" spans="1:4" ht="15.75" thickBot="1" x14ac:dyDescent="0.3">
      <c r="A1197" s="93" t="s">
        <v>1756</v>
      </c>
      <c r="B1197" s="83" t="s">
        <v>761</v>
      </c>
      <c r="C1197" s="84">
        <v>0</v>
      </c>
      <c r="D1197" s="64"/>
    </row>
    <row r="1198" spans="1:4" ht="15.75" thickBot="1" x14ac:dyDescent="0.3">
      <c r="A1198" s="93" t="s">
        <v>1757</v>
      </c>
      <c r="B1198" s="83" t="s">
        <v>596</v>
      </c>
      <c r="C1198" s="84">
        <v>0</v>
      </c>
      <c r="D1198" s="64"/>
    </row>
    <row r="1199" spans="1:4" ht="15.75" thickBot="1" x14ac:dyDescent="0.3">
      <c r="A1199" s="93" t="s">
        <v>1758</v>
      </c>
      <c r="B1199" s="83" t="s">
        <v>296</v>
      </c>
      <c r="C1199" s="84">
        <v>0</v>
      </c>
      <c r="D1199" s="64"/>
    </row>
    <row r="1200" spans="1:4" ht="15.75" thickBot="1" x14ac:dyDescent="0.3">
      <c r="A1200" s="93" t="s">
        <v>1759</v>
      </c>
      <c r="B1200" s="83" t="s">
        <v>494</v>
      </c>
      <c r="C1200" s="84">
        <v>0</v>
      </c>
      <c r="D1200" s="64"/>
    </row>
    <row r="1201" spans="1:4" ht="15.75" thickBot="1" x14ac:dyDescent="0.3">
      <c r="A1201" s="93" t="s">
        <v>1760</v>
      </c>
      <c r="B1201" s="83" t="s">
        <v>494</v>
      </c>
      <c r="C1201" s="84">
        <v>0</v>
      </c>
      <c r="D1201" s="64"/>
    </row>
    <row r="1202" spans="1:4" ht="15.75" thickBot="1" x14ac:dyDescent="0.3">
      <c r="A1202" s="93" t="s">
        <v>1761</v>
      </c>
      <c r="B1202" s="83" t="s">
        <v>494</v>
      </c>
      <c r="C1202" s="84">
        <v>0</v>
      </c>
      <c r="D1202" s="64"/>
    </row>
    <row r="1203" spans="1:4" ht="15.75" thickBot="1" x14ac:dyDescent="0.3">
      <c r="A1203" s="93" t="s">
        <v>1762</v>
      </c>
      <c r="B1203" s="83" t="s">
        <v>494</v>
      </c>
      <c r="C1203" s="84">
        <v>0</v>
      </c>
      <c r="D1203" s="64"/>
    </row>
    <row r="1204" spans="1:4" ht="15.75" thickBot="1" x14ac:dyDescent="0.3">
      <c r="A1204" s="93" t="s">
        <v>1763</v>
      </c>
      <c r="B1204" s="83" t="s">
        <v>494</v>
      </c>
      <c r="C1204" s="84">
        <v>0</v>
      </c>
      <c r="D1204" s="64"/>
    </row>
    <row r="1205" spans="1:4" ht="15.75" thickBot="1" x14ac:dyDescent="0.3">
      <c r="A1205" s="93" t="s">
        <v>1764</v>
      </c>
      <c r="B1205" s="83" t="s">
        <v>494</v>
      </c>
      <c r="C1205" s="84">
        <v>0</v>
      </c>
      <c r="D1205" s="64"/>
    </row>
    <row r="1206" spans="1:4" ht="15.75" thickBot="1" x14ac:dyDescent="0.3">
      <c r="A1206" s="93" t="s">
        <v>1765</v>
      </c>
      <c r="B1206" s="83" t="s">
        <v>494</v>
      </c>
      <c r="C1206" s="84">
        <v>0</v>
      </c>
      <c r="D1206" s="64"/>
    </row>
    <row r="1207" spans="1:4" ht="15.75" thickBot="1" x14ac:dyDescent="0.3">
      <c r="A1207" s="93" t="s">
        <v>1766</v>
      </c>
      <c r="B1207" s="83" t="s">
        <v>546</v>
      </c>
      <c r="C1207" s="84">
        <v>0</v>
      </c>
      <c r="D1207" s="64"/>
    </row>
    <row r="1208" spans="1:4" ht="15.75" thickBot="1" x14ac:dyDescent="0.3">
      <c r="A1208" s="93" t="s">
        <v>1767</v>
      </c>
      <c r="B1208" s="83" t="s">
        <v>296</v>
      </c>
      <c r="C1208" s="85">
        <v>23</v>
      </c>
      <c r="D1208" s="64"/>
    </row>
    <row r="1209" spans="1:4" ht="15.75" thickBot="1" x14ac:dyDescent="0.3">
      <c r="A1209" s="93" t="s">
        <v>1768</v>
      </c>
      <c r="B1209" s="83" t="s">
        <v>509</v>
      </c>
      <c r="C1209" s="86">
        <v>3</v>
      </c>
      <c r="D1209" s="64"/>
    </row>
    <row r="1210" spans="1:4" ht="15.75" thickBot="1" x14ac:dyDescent="0.3">
      <c r="A1210" s="93" t="s">
        <v>1769</v>
      </c>
      <c r="B1210" s="83" t="s">
        <v>511</v>
      </c>
      <c r="C1210" s="84">
        <v>0</v>
      </c>
      <c r="D1210" s="64"/>
    </row>
    <row r="1211" spans="1:4" ht="15.75" thickBot="1" x14ac:dyDescent="0.3">
      <c r="A1211" s="93" t="s">
        <v>1770</v>
      </c>
      <c r="B1211" s="83" t="s">
        <v>296</v>
      </c>
      <c r="C1211" s="84">
        <v>0</v>
      </c>
      <c r="D1211" s="64"/>
    </row>
    <row r="1212" spans="1:4" ht="15.75" thickBot="1" x14ac:dyDescent="0.3">
      <c r="A1212" s="93" t="s">
        <v>1771</v>
      </c>
      <c r="B1212" s="83" t="s">
        <v>509</v>
      </c>
      <c r="C1212" s="84">
        <v>0</v>
      </c>
      <c r="D1212" s="64"/>
    </row>
    <row r="1213" spans="1:4" ht="15.75" thickBot="1" x14ac:dyDescent="0.3">
      <c r="A1213" s="93" t="s">
        <v>1772</v>
      </c>
      <c r="B1213" s="83" t="s">
        <v>511</v>
      </c>
      <c r="C1213" s="84">
        <v>0</v>
      </c>
      <c r="D1213" s="64"/>
    </row>
    <row r="1214" spans="1:4" ht="15.75" thickBot="1" x14ac:dyDescent="0.3">
      <c r="A1214" s="93" t="s">
        <v>1773</v>
      </c>
      <c r="B1214" s="83" t="s">
        <v>439</v>
      </c>
      <c r="C1214" s="84">
        <v>0</v>
      </c>
      <c r="D1214" s="64"/>
    </row>
    <row r="1215" spans="1:4" ht="15.75" thickBot="1" x14ac:dyDescent="0.3">
      <c r="A1215" s="93" t="s">
        <v>1774</v>
      </c>
      <c r="B1215" s="83" t="s">
        <v>296</v>
      </c>
      <c r="C1215" s="84">
        <v>0</v>
      </c>
      <c r="D1215" s="64"/>
    </row>
    <row r="1216" spans="1:4" ht="15.75" thickBot="1" x14ac:dyDescent="0.3">
      <c r="A1216" s="93" t="s">
        <v>1775</v>
      </c>
      <c r="B1216" s="83" t="s">
        <v>509</v>
      </c>
      <c r="C1216" s="84">
        <v>0</v>
      </c>
      <c r="D1216" s="64"/>
    </row>
    <row r="1217" spans="1:4" ht="15.75" thickBot="1" x14ac:dyDescent="0.3">
      <c r="A1217" s="93" t="s">
        <v>1776</v>
      </c>
      <c r="B1217" s="83" t="s">
        <v>511</v>
      </c>
      <c r="C1217" s="84">
        <v>0</v>
      </c>
      <c r="D1217" s="64"/>
    </row>
    <row r="1218" spans="1:4" ht="15.75" thickBot="1" x14ac:dyDescent="0.3">
      <c r="A1218" s="93" t="s">
        <v>1777</v>
      </c>
      <c r="B1218" s="83" t="s">
        <v>439</v>
      </c>
      <c r="C1218" s="84">
        <v>0</v>
      </c>
      <c r="D1218" s="64"/>
    </row>
    <row r="1219" spans="1:4" ht="15.75" thickBot="1" x14ac:dyDescent="0.3">
      <c r="A1219" s="93" t="s">
        <v>1778</v>
      </c>
      <c r="B1219" s="83" t="s">
        <v>296</v>
      </c>
      <c r="C1219" s="84">
        <v>0</v>
      </c>
      <c r="D1219" s="64"/>
    </row>
    <row r="1220" spans="1:4" ht="15.75" thickBot="1" x14ac:dyDescent="0.3">
      <c r="A1220" s="93" t="s">
        <v>1779</v>
      </c>
      <c r="B1220" s="83" t="s">
        <v>509</v>
      </c>
      <c r="C1220" s="84">
        <v>0</v>
      </c>
      <c r="D1220" s="64"/>
    </row>
    <row r="1221" spans="1:4" ht="15.75" thickBot="1" x14ac:dyDescent="0.3">
      <c r="A1221" s="93" t="s">
        <v>1780</v>
      </c>
      <c r="B1221" s="83" t="s">
        <v>511</v>
      </c>
      <c r="C1221" s="84">
        <v>0</v>
      </c>
      <c r="D1221" s="64"/>
    </row>
    <row r="1222" spans="1:4" ht="15.75" thickBot="1" x14ac:dyDescent="0.3">
      <c r="A1222" s="93" t="s">
        <v>1781</v>
      </c>
      <c r="B1222" s="83" t="s">
        <v>439</v>
      </c>
      <c r="C1222" s="84">
        <v>0</v>
      </c>
      <c r="D1222" s="64"/>
    </row>
    <row r="1223" spans="1:4" ht="15.75" thickBot="1" x14ac:dyDescent="0.3">
      <c r="A1223" s="93"/>
      <c r="B1223" s="89" t="e">
        <v>#N/A</v>
      </c>
      <c r="C1223" s="84">
        <v>0</v>
      </c>
      <c r="D1223" s="64"/>
    </row>
    <row r="1224" spans="1:4" ht="15.75" thickBot="1" x14ac:dyDescent="0.3">
      <c r="A1224" s="93"/>
      <c r="B1224" s="83"/>
      <c r="C1224" s="84">
        <v>0</v>
      </c>
      <c r="D1224" s="64"/>
    </row>
  </sheetData>
  <pageMargins left="0.7" right="0.7" top="0.75" bottom="0.75" header="0.3" footer="0.3"/>
  <pageSetup orientation="portrait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95"/>
  <sheetViews>
    <sheetView topLeftCell="A10" workbookViewId="0">
      <selection activeCell="G272" sqref="G272"/>
    </sheetView>
  </sheetViews>
  <sheetFormatPr defaultRowHeight="15" x14ac:dyDescent="0.25"/>
  <cols>
    <col min="2" max="2" width="8.7109375" bestFit="1" customWidth="1"/>
    <col min="3" max="3" width="10.85546875" bestFit="1" customWidth="1"/>
    <col min="4" max="4" width="4" bestFit="1" customWidth="1"/>
  </cols>
  <sheetData>
    <row r="1" spans="1:4" x14ac:dyDescent="0.25">
      <c r="A1" s="95">
        <v>45395</v>
      </c>
      <c r="B1" s="96">
        <v>7520.41</v>
      </c>
      <c r="C1" s="96">
        <v>21802604.390000001</v>
      </c>
      <c r="D1" s="97" t="s">
        <v>1782</v>
      </c>
    </row>
    <row r="2" spans="1:4" x14ac:dyDescent="0.25">
      <c r="A2" s="98">
        <v>45396</v>
      </c>
      <c r="B2" s="99">
        <v>7520.41</v>
      </c>
      <c r="C2" s="99">
        <v>21802604.390000001</v>
      </c>
      <c r="D2" s="100" t="s">
        <v>1782</v>
      </c>
    </row>
    <row r="3" spans="1:4" x14ac:dyDescent="0.25">
      <c r="A3" s="95">
        <v>45397</v>
      </c>
      <c r="B3" s="96">
        <v>7689.42</v>
      </c>
      <c r="C3" s="96">
        <v>22292604.390000001</v>
      </c>
      <c r="D3" s="97" t="s">
        <v>1782</v>
      </c>
    </row>
    <row r="4" spans="1:4" x14ac:dyDescent="0.25">
      <c r="A4" s="98">
        <v>45398</v>
      </c>
      <c r="B4" s="99">
        <v>7689.42</v>
      </c>
      <c r="C4" s="99">
        <v>22292604.390000001</v>
      </c>
      <c r="D4" s="100" t="s">
        <v>1782</v>
      </c>
    </row>
    <row r="5" spans="1:4" x14ac:dyDescent="0.25">
      <c r="A5" s="95">
        <v>45399</v>
      </c>
      <c r="B5" s="96">
        <v>7689.42</v>
      </c>
      <c r="C5" s="96">
        <v>22292604.390000001</v>
      </c>
      <c r="D5" s="97" t="s">
        <v>1782</v>
      </c>
    </row>
    <row r="6" spans="1:4" x14ac:dyDescent="0.25">
      <c r="A6" s="98">
        <v>45400</v>
      </c>
      <c r="B6" s="99">
        <v>7689.42</v>
      </c>
      <c r="C6" s="99">
        <v>22292604.390000001</v>
      </c>
      <c r="D6" s="100" t="s">
        <v>1782</v>
      </c>
    </row>
    <row r="7" spans="1:4" x14ac:dyDescent="0.25">
      <c r="A7" s="95">
        <v>45401</v>
      </c>
      <c r="B7" s="96">
        <v>7689.42</v>
      </c>
      <c r="C7" s="96">
        <v>22292604.390000001</v>
      </c>
      <c r="D7" s="97" t="s">
        <v>1782</v>
      </c>
    </row>
    <row r="8" spans="1:4" x14ac:dyDescent="0.25">
      <c r="A8" s="98">
        <v>45402</v>
      </c>
      <c r="B8" s="99">
        <v>7689.42</v>
      </c>
      <c r="C8" s="99">
        <v>22292604.390000001</v>
      </c>
      <c r="D8" s="100" t="s">
        <v>1782</v>
      </c>
    </row>
    <row r="9" spans="1:4" x14ac:dyDescent="0.25">
      <c r="A9" s="95">
        <v>45403</v>
      </c>
      <c r="B9" s="96">
        <v>7689.42</v>
      </c>
      <c r="C9" s="96">
        <v>22292604.390000001</v>
      </c>
      <c r="D9" s="97" t="s">
        <v>1782</v>
      </c>
    </row>
    <row r="10" spans="1:4" x14ac:dyDescent="0.25">
      <c r="A10" s="98">
        <v>45404</v>
      </c>
      <c r="B10" s="99">
        <v>7689.42</v>
      </c>
      <c r="C10" s="99">
        <v>22292604.390000001</v>
      </c>
      <c r="D10" s="100" t="s">
        <v>1782</v>
      </c>
    </row>
    <row r="11" spans="1:4" x14ac:dyDescent="0.25">
      <c r="A11" s="95">
        <v>45405</v>
      </c>
      <c r="B11" s="96">
        <v>7689.42</v>
      </c>
      <c r="C11" s="96">
        <v>22292604.390000001</v>
      </c>
      <c r="D11" s="97" t="s">
        <v>1782</v>
      </c>
    </row>
    <row r="12" spans="1:4" x14ac:dyDescent="0.25">
      <c r="A12" s="98">
        <v>45406</v>
      </c>
      <c r="B12" s="99">
        <v>7689.42</v>
      </c>
      <c r="C12" s="99">
        <v>22292604.390000001</v>
      </c>
      <c r="D12" s="100" t="s">
        <v>1782</v>
      </c>
    </row>
    <row r="13" spans="1:4" x14ac:dyDescent="0.25">
      <c r="A13" s="95">
        <v>45407</v>
      </c>
      <c r="B13" s="96">
        <v>7689.42</v>
      </c>
      <c r="C13" s="96">
        <v>22292604.390000001</v>
      </c>
      <c r="D13" s="97" t="s">
        <v>1782</v>
      </c>
    </row>
    <row r="14" spans="1:4" x14ac:dyDescent="0.25">
      <c r="A14" s="98">
        <v>45408</v>
      </c>
      <c r="B14" s="99">
        <v>7689.42</v>
      </c>
      <c r="C14" s="99">
        <v>22292604.390000001</v>
      </c>
      <c r="D14" s="100" t="s">
        <v>1782</v>
      </c>
    </row>
    <row r="15" spans="1:4" x14ac:dyDescent="0.25">
      <c r="A15" s="95">
        <v>45409</v>
      </c>
      <c r="B15" s="96">
        <v>7689.42</v>
      </c>
      <c r="C15" s="96">
        <v>22292604.390000001</v>
      </c>
      <c r="D15" s="97" t="s">
        <v>1782</v>
      </c>
    </row>
    <row r="16" spans="1:4" x14ac:dyDescent="0.25">
      <c r="A16" s="98">
        <v>45410</v>
      </c>
      <c r="B16" s="99">
        <v>7689.42</v>
      </c>
      <c r="C16" s="99">
        <v>22292604.390000001</v>
      </c>
      <c r="D16" s="100" t="s">
        <v>1782</v>
      </c>
    </row>
    <row r="17" spans="1:4" x14ac:dyDescent="0.25">
      <c r="A17" s="95">
        <v>45411</v>
      </c>
      <c r="B17" s="96">
        <v>7689.42</v>
      </c>
      <c r="C17" s="96">
        <v>22292604.390000001</v>
      </c>
      <c r="D17" s="97" t="s">
        <v>1782</v>
      </c>
    </row>
    <row r="18" spans="1:4" x14ac:dyDescent="0.25">
      <c r="A18" s="98">
        <v>45412</v>
      </c>
      <c r="B18" s="99">
        <v>7689.42</v>
      </c>
      <c r="C18" s="99">
        <v>22292604.390000001</v>
      </c>
      <c r="D18" s="100" t="s">
        <v>1782</v>
      </c>
    </row>
    <row r="19" spans="1:4" x14ac:dyDescent="0.25">
      <c r="A19" s="95">
        <v>45413</v>
      </c>
      <c r="B19" s="96">
        <v>7689.42</v>
      </c>
      <c r="C19" s="96">
        <v>22292604.390000001</v>
      </c>
      <c r="D19" s="97" t="s">
        <v>1782</v>
      </c>
    </row>
    <row r="20" spans="1:4" x14ac:dyDescent="0.25">
      <c r="A20" s="98">
        <v>45414</v>
      </c>
      <c r="B20" s="99">
        <v>7689.42</v>
      </c>
      <c r="C20" s="99">
        <v>22292604.390000001</v>
      </c>
      <c r="D20" s="100" t="s">
        <v>1782</v>
      </c>
    </row>
    <row r="21" spans="1:4" x14ac:dyDescent="0.25">
      <c r="A21" s="95">
        <v>45415</v>
      </c>
      <c r="B21" s="96">
        <v>7689.42</v>
      </c>
      <c r="C21" s="96">
        <v>22292604.390000001</v>
      </c>
      <c r="D21" s="97" t="s">
        <v>1782</v>
      </c>
    </row>
    <row r="22" spans="1:4" x14ac:dyDescent="0.25">
      <c r="A22" s="98">
        <v>45416</v>
      </c>
      <c r="B22" s="99">
        <v>7689.42</v>
      </c>
      <c r="C22" s="99">
        <v>22292604.390000001</v>
      </c>
      <c r="D22" s="100" t="s">
        <v>1782</v>
      </c>
    </row>
    <row r="23" spans="1:4" x14ac:dyDescent="0.25">
      <c r="A23" s="95">
        <v>45417</v>
      </c>
      <c r="B23" s="96">
        <v>7447.97</v>
      </c>
      <c r="C23" s="96">
        <v>21592604.390000001</v>
      </c>
      <c r="D23" s="97" t="s">
        <v>1782</v>
      </c>
    </row>
    <row r="24" spans="1:4" x14ac:dyDescent="0.25">
      <c r="A24" s="98">
        <v>45418</v>
      </c>
      <c r="B24" s="99">
        <v>7447.97</v>
      </c>
      <c r="C24" s="99">
        <v>21592604.390000001</v>
      </c>
      <c r="D24" s="100" t="s">
        <v>1782</v>
      </c>
    </row>
    <row r="25" spans="1:4" x14ac:dyDescent="0.25">
      <c r="A25" s="95">
        <v>45419</v>
      </c>
      <c r="B25" s="96">
        <v>7447.97</v>
      </c>
      <c r="C25" s="96">
        <v>21592604.390000001</v>
      </c>
      <c r="D25" s="97" t="s">
        <v>1782</v>
      </c>
    </row>
    <row r="26" spans="1:4" x14ac:dyDescent="0.25">
      <c r="A26" s="98">
        <v>45420</v>
      </c>
      <c r="B26" s="99">
        <v>7447.97</v>
      </c>
      <c r="C26" s="99">
        <v>21592604.390000001</v>
      </c>
      <c r="D26" s="100" t="s">
        <v>1782</v>
      </c>
    </row>
    <row r="27" spans="1:4" x14ac:dyDescent="0.25">
      <c r="A27" s="95">
        <v>45421</v>
      </c>
      <c r="B27" s="96">
        <v>7206.52</v>
      </c>
      <c r="C27" s="96">
        <v>20892604.390000001</v>
      </c>
      <c r="D27" s="97" t="s">
        <v>1782</v>
      </c>
    </row>
    <row r="28" spans="1:4" x14ac:dyDescent="0.25">
      <c r="A28" s="98">
        <v>45422</v>
      </c>
      <c r="B28" s="99">
        <v>7137.53</v>
      </c>
      <c r="C28" s="99">
        <v>20692604.390000001</v>
      </c>
      <c r="D28" s="100" t="s">
        <v>1782</v>
      </c>
    </row>
    <row r="29" spans="1:4" x14ac:dyDescent="0.25">
      <c r="A29" s="95">
        <v>45423</v>
      </c>
      <c r="B29" s="96">
        <v>7137.53</v>
      </c>
      <c r="C29" s="96">
        <v>20692604.390000001</v>
      </c>
      <c r="D29" s="97" t="s">
        <v>1782</v>
      </c>
    </row>
    <row r="30" spans="1:4" x14ac:dyDescent="0.25">
      <c r="A30" s="98">
        <v>45424</v>
      </c>
      <c r="B30" s="99">
        <v>7137.53</v>
      </c>
      <c r="C30" s="99">
        <v>20692604.390000001</v>
      </c>
      <c r="D30" s="100" t="s">
        <v>1782</v>
      </c>
    </row>
    <row r="31" spans="1:4" x14ac:dyDescent="0.25">
      <c r="A31" s="95">
        <v>45425</v>
      </c>
      <c r="B31" s="96">
        <v>7620.44</v>
      </c>
      <c r="C31" s="96">
        <v>22092604.390000001</v>
      </c>
      <c r="D31" s="97" t="s">
        <v>1782</v>
      </c>
    </row>
    <row r="32" spans="1:4" x14ac:dyDescent="0.25">
      <c r="A32" s="98">
        <v>45426</v>
      </c>
      <c r="B32" s="99">
        <v>7354.11</v>
      </c>
      <c r="C32" s="99">
        <v>22092604.390000001</v>
      </c>
      <c r="D32" s="100" t="s">
        <v>1782</v>
      </c>
    </row>
    <row r="33" spans="1:4" x14ac:dyDescent="0.25">
      <c r="A33" s="95">
        <v>45427</v>
      </c>
      <c r="B33" s="96">
        <v>7387.4</v>
      </c>
      <c r="C33" s="96">
        <v>22192604.390000001</v>
      </c>
      <c r="D33" s="97" t="s">
        <v>1782</v>
      </c>
    </row>
    <row r="34" spans="1:4" x14ac:dyDescent="0.25">
      <c r="A34" s="98">
        <v>45428</v>
      </c>
      <c r="B34" s="99">
        <v>7387.4</v>
      </c>
      <c r="C34" s="99">
        <v>22192604.390000001</v>
      </c>
      <c r="D34" s="100" t="s">
        <v>1782</v>
      </c>
    </row>
    <row r="35" spans="1:4" x14ac:dyDescent="0.25">
      <c r="A35" s="95">
        <v>45429</v>
      </c>
      <c r="B35" s="96">
        <v>7387.4</v>
      </c>
      <c r="C35" s="96">
        <v>22192604.390000001</v>
      </c>
      <c r="D35" s="97" t="s">
        <v>1782</v>
      </c>
    </row>
    <row r="36" spans="1:4" x14ac:dyDescent="0.25">
      <c r="A36" s="98">
        <v>45430</v>
      </c>
      <c r="B36" s="99">
        <v>7387.4</v>
      </c>
      <c r="C36" s="99">
        <v>22192604.390000001</v>
      </c>
      <c r="D36" s="100" t="s">
        <v>1782</v>
      </c>
    </row>
    <row r="37" spans="1:4" x14ac:dyDescent="0.25">
      <c r="A37" s="95">
        <v>45431</v>
      </c>
      <c r="B37" s="96">
        <v>7187.68</v>
      </c>
      <c r="C37" s="96">
        <v>21592604.390000001</v>
      </c>
      <c r="D37" s="97" t="s">
        <v>1782</v>
      </c>
    </row>
    <row r="38" spans="1:4" x14ac:dyDescent="0.25">
      <c r="A38" s="98">
        <v>45432</v>
      </c>
      <c r="B38" s="99">
        <v>7187.68</v>
      </c>
      <c r="C38" s="99">
        <v>21592604.390000001</v>
      </c>
      <c r="D38" s="100" t="s">
        <v>1782</v>
      </c>
    </row>
    <row r="39" spans="1:4" x14ac:dyDescent="0.25">
      <c r="A39" s="95">
        <v>45433</v>
      </c>
      <c r="B39" s="96">
        <v>7187.68</v>
      </c>
      <c r="C39" s="96">
        <v>21592604.390000001</v>
      </c>
      <c r="D39" s="97" t="s">
        <v>1782</v>
      </c>
    </row>
    <row r="40" spans="1:4" x14ac:dyDescent="0.25">
      <c r="A40" s="98">
        <v>45434</v>
      </c>
      <c r="B40" s="99">
        <v>7187.68</v>
      </c>
      <c r="C40" s="99">
        <v>21592604.390000001</v>
      </c>
      <c r="D40" s="100" t="s">
        <v>1782</v>
      </c>
    </row>
    <row r="41" spans="1:4" x14ac:dyDescent="0.25">
      <c r="A41" s="95">
        <v>45435</v>
      </c>
      <c r="B41" s="96">
        <v>7187.68</v>
      </c>
      <c r="C41" s="96">
        <v>21592604.390000001</v>
      </c>
      <c r="D41" s="97" t="s">
        <v>1782</v>
      </c>
    </row>
    <row r="42" spans="1:4" x14ac:dyDescent="0.25">
      <c r="A42" s="98">
        <v>45436</v>
      </c>
      <c r="B42" s="99">
        <v>7187.68</v>
      </c>
      <c r="C42" s="99">
        <v>21592604.390000001</v>
      </c>
      <c r="D42" s="100" t="s">
        <v>1782</v>
      </c>
    </row>
    <row r="43" spans="1:4" x14ac:dyDescent="0.25">
      <c r="A43" s="95">
        <v>45437</v>
      </c>
      <c r="B43" s="96">
        <v>7187.68</v>
      </c>
      <c r="C43" s="96">
        <v>21592604.390000001</v>
      </c>
      <c r="D43" s="97" t="s">
        <v>1782</v>
      </c>
    </row>
    <row r="44" spans="1:4" x14ac:dyDescent="0.25">
      <c r="A44" s="98">
        <v>45438</v>
      </c>
      <c r="B44" s="99">
        <v>6854.8</v>
      </c>
      <c r="C44" s="99">
        <v>20592604.390000001</v>
      </c>
      <c r="D44" s="100" t="s">
        <v>1782</v>
      </c>
    </row>
    <row r="45" spans="1:4" x14ac:dyDescent="0.25">
      <c r="A45" s="95">
        <v>45439</v>
      </c>
      <c r="B45" s="96">
        <v>7054.52</v>
      </c>
      <c r="C45" s="96">
        <v>21192604.390000001</v>
      </c>
      <c r="D45" s="97" t="s">
        <v>1782</v>
      </c>
    </row>
    <row r="46" spans="1:4" x14ac:dyDescent="0.25">
      <c r="A46" s="98">
        <v>45440</v>
      </c>
      <c r="B46" s="99">
        <v>7054.52</v>
      </c>
      <c r="C46" s="99">
        <v>21192604.390000001</v>
      </c>
      <c r="D46" s="100" t="s">
        <v>1782</v>
      </c>
    </row>
    <row r="47" spans="1:4" x14ac:dyDescent="0.25">
      <c r="A47" s="95">
        <v>45441</v>
      </c>
      <c r="B47" s="96">
        <v>7054.52</v>
      </c>
      <c r="C47" s="96">
        <v>21192604.390000001</v>
      </c>
      <c r="D47" s="97" t="s">
        <v>1782</v>
      </c>
    </row>
    <row r="48" spans="1:4" x14ac:dyDescent="0.25">
      <c r="A48" s="98">
        <v>45442</v>
      </c>
      <c r="B48" s="99">
        <v>7320.83</v>
      </c>
      <c r="C48" s="99">
        <v>21992604.390000001</v>
      </c>
      <c r="D48" s="100" t="s">
        <v>1782</v>
      </c>
    </row>
    <row r="49" spans="1:4" x14ac:dyDescent="0.25">
      <c r="A49" s="95">
        <v>45443</v>
      </c>
      <c r="B49" s="96">
        <v>7320.83</v>
      </c>
      <c r="C49" s="96">
        <v>21992604.390000001</v>
      </c>
      <c r="D49" s="97" t="s">
        <v>1782</v>
      </c>
    </row>
    <row r="50" spans="1:4" x14ac:dyDescent="0.25">
      <c r="A50" s="98">
        <v>45444</v>
      </c>
      <c r="B50" s="99">
        <v>7320.83</v>
      </c>
      <c r="C50" s="99">
        <v>21992604.390000001</v>
      </c>
      <c r="D50" s="100" t="s">
        <v>1782</v>
      </c>
    </row>
    <row r="51" spans="1:4" x14ac:dyDescent="0.25">
      <c r="A51" s="95">
        <v>45445</v>
      </c>
      <c r="B51" s="96">
        <v>7320.83</v>
      </c>
      <c r="C51" s="96">
        <v>21992604.390000001</v>
      </c>
      <c r="D51" s="97" t="s">
        <v>1782</v>
      </c>
    </row>
    <row r="52" spans="1:4" x14ac:dyDescent="0.25">
      <c r="A52" s="98">
        <v>45446</v>
      </c>
      <c r="B52" s="99">
        <v>7320.83</v>
      </c>
      <c r="C52" s="99">
        <v>21992604.390000001</v>
      </c>
      <c r="D52" s="100" t="s">
        <v>1782</v>
      </c>
    </row>
    <row r="53" spans="1:4" x14ac:dyDescent="0.25">
      <c r="A53" s="95">
        <v>45447</v>
      </c>
      <c r="B53" s="96">
        <v>6935.35</v>
      </c>
      <c r="C53" s="96">
        <v>20834604.390000001</v>
      </c>
      <c r="D53" s="97" t="s">
        <v>1782</v>
      </c>
    </row>
    <row r="54" spans="1:4" x14ac:dyDescent="0.25">
      <c r="A54" s="98">
        <v>45448</v>
      </c>
      <c r="B54" s="99">
        <v>6935.35</v>
      </c>
      <c r="C54" s="99">
        <v>20834604.390000001</v>
      </c>
      <c r="D54" s="100" t="s">
        <v>1782</v>
      </c>
    </row>
    <row r="55" spans="1:4" x14ac:dyDescent="0.25">
      <c r="A55" s="95">
        <v>45449</v>
      </c>
      <c r="B55" s="96">
        <v>6935.35</v>
      </c>
      <c r="C55" s="96">
        <v>20834604.390000001</v>
      </c>
      <c r="D55" s="97" t="s">
        <v>1782</v>
      </c>
    </row>
    <row r="56" spans="1:4" x14ac:dyDescent="0.25">
      <c r="A56" s="98">
        <v>45450</v>
      </c>
      <c r="B56" s="99">
        <v>6769.25</v>
      </c>
      <c r="C56" s="99">
        <v>20335604.390000001</v>
      </c>
      <c r="D56" s="100" t="s">
        <v>1782</v>
      </c>
    </row>
    <row r="57" spans="1:4" x14ac:dyDescent="0.25">
      <c r="A57" s="95">
        <v>45451</v>
      </c>
      <c r="B57" s="96">
        <v>6769.25</v>
      </c>
      <c r="C57" s="96">
        <v>20335604.390000001</v>
      </c>
      <c r="D57" s="97" t="s">
        <v>1782</v>
      </c>
    </row>
    <row r="58" spans="1:4" x14ac:dyDescent="0.25">
      <c r="A58" s="98">
        <v>45452</v>
      </c>
      <c r="B58" s="99">
        <v>6769.25</v>
      </c>
      <c r="C58" s="99">
        <v>20335604.390000001</v>
      </c>
      <c r="D58" s="100" t="s">
        <v>1782</v>
      </c>
    </row>
    <row r="59" spans="1:4" x14ac:dyDescent="0.25">
      <c r="A59" s="95">
        <v>45453</v>
      </c>
      <c r="B59" s="96">
        <v>6769.25</v>
      </c>
      <c r="C59" s="96">
        <v>20335604.390000001</v>
      </c>
      <c r="D59" s="97" t="s">
        <v>1782</v>
      </c>
    </row>
    <row r="60" spans="1:4" x14ac:dyDescent="0.25">
      <c r="A60" s="98">
        <v>45454</v>
      </c>
      <c r="B60" s="99">
        <v>6265.27</v>
      </c>
      <c r="C60" s="99">
        <v>18821604.390000001</v>
      </c>
      <c r="D60" s="100" t="s">
        <v>1782</v>
      </c>
    </row>
    <row r="61" spans="1:4" x14ac:dyDescent="0.25">
      <c r="A61" s="95">
        <v>45455</v>
      </c>
      <c r="B61" s="96">
        <v>6265.27</v>
      </c>
      <c r="C61" s="96">
        <v>18821604.390000001</v>
      </c>
      <c r="D61" s="97" t="s">
        <v>1782</v>
      </c>
    </row>
    <row r="62" spans="1:4" x14ac:dyDescent="0.25">
      <c r="A62" s="98">
        <v>45456</v>
      </c>
      <c r="B62" s="99">
        <v>6265.27</v>
      </c>
      <c r="C62" s="99">
        <v>18821604.390000001</v>
      </c>
      <c r="D62" s="100" t="s">
        <v>1782</v>
      </c>
    </row>
    <row r="63" spans="1:4" x14ac:dyDescent="0.25">
      <c r="A63" s="95">
        <v>45457</v>
      </c>
      <c r="B63" s="96">
        <v>6265.27</v>
      </c>
      <c r="C63" s="96">
        <v>18821604.390000001</v>
      </c>
      <c r="D63" s="97" t="s">
        <v>1782</v>
      </c>
    </row>
    <row r="64" spans="1:4" x14ac:dyDescent="0.25">
      <c r="A64" s="98">
        <v>45458</v>
      </c>
      <c r="B64" s="99">
        <v>6028.07</v>
      </c>
      <c r="C64" s="99">
        <v>18821604.390000001</v>
      </c>
      <c r="D64" s="100" t="s">
        <v>1782</v>
      </c>
    </row>
    <row r="65" spans="1:4" x14ac:dyDescent="0.25">
      <c r="A65" s="95">
        <v>45459</v>
      </c>
      <c r="B65" s="96">
        <v>6276.28</v>
      </c>
      <c r="C65" s="96">
        <v>19596604.390000001</v>
      </c>
      <c r="D65" s="97" t="s">
        <v>1782</v>
      </c>
    </row>
    <row r="66" spans="1:4" x14ac:dyDescent="0.25">
      <c r="A66" s="98">
        <v>45460</v>
      </c>
      <c r="B66" s="99">
        <v>6276.28</v>
      </c>
      <c r="C66" s="99">
        <v>19596604.390000001</v>
      </c>
      <c r="D66" s="100" t="s">
        <v>1782</v>
      </c>
    </row>
    <row r="67" spans="1:4" x14ac:dyDescent="0.25">
      <c r="A67" s="95">
        <v>45461</v>
      </c>
      <c r="B67" s="96">
        <v>6500.47</v>
      </c>
      <c r="C67" s="96">
        <v>20296604.390000001</v>
      </c>
      <c r="D67" s="97" t="s">
        <v>1782</v>
      </c>
    </row>
    <row r="68" spans="1:4" x14ac:dyDescent="0.25">
      <c r="A68" s="98">
        <v>45462</v>
      </c>
      <c r="B68" s="99">
        <v>6500.47</v>
      </c>
      <c r="C68" s="99">
        <v>20296604.390000001</v>
      </c>
      <c r="D68" s="100" t="s">
        <v>1782</v>
      </c>
    </row>
    <row r="69" spans="1:4" x14ac:dyDescent="0.25">
      <c r="A69" s="95">
        <v>45463</v>
      </c>
      <c r="B69" s="96">
        <v>6500.47</v>
      </c>
      <c r="C69" s="96">
        <v>20296604.390000001</v>
      </c>
      <c r="D69" s="97" t="s">
        <v>1782</v>
      </c>
    </row>
    <row r="70" spans="1:4" x14ac:dyDescent="0.25">
      <c r="A70" s="98">
        <v>45464</v>
      </c>
      <c r="B70" s="99">
        <v>6500.47</v>
      </c>
      <c r="C70" s="99">
        <v>20296604.390000001</v>
      </c>
      <c r="D70" s="100" t="s">
        <v>1782</v>
      </c>
    </row>
    <row r="71" spans="1:4" x14ac:dyDescent="0.25">
      <c r="A71" s="95">
        <v>45465</v>
      </c>
      <c r="B71" s="96">
        <v>6500.47</v>
      </c>
      <c r="C71" s="96">
        <v>20296604.390000001</v>
      </c>
      <c r="D71" s="97" t="s">
        <v>1782</v>
      </c>
    </row>
    <row r="72" spans="1:4" x14ac:dyDescent="0.25">
      <c r="A72" s="98">
        <v>45466</v>
      </c>
      <c r="B72" s="99">
        <v>6308.31</v>
      </c>
      <c r="C72" s="99">
        <v>19696604.390000001</v>
      </c>
      <c r="D72" s="100" t="s">
        <v>1782</v>
      </c>
    </row>
    <row r="73" spans="1:4" x14ac:dyDescent="0.25">
      <c r="A73" s="95">
        <v>45467</v>
      </c>
      <c r="B73" s="96">
        <v>6308.37</v>
      </c>
      <c r="C73" s="96">
        <v>19696804.390000001</v>
      </c>
      <c r="D73" s="97" t="s">
        <v>1782</v>
      </c>
    </row>
    <row r="74" spans="1:4" x14ac:dyDescent="0.25">
      <c r="A74" s="98">
        <v>45468</v>
      </c>
      <c r="B74" s="99">
        <v>6308.37</v>
      </c>
      <c r="C74" s="99">
        <v>19696804.390000001</v>
      </c>
      <c r="D74" s="100" t="s">
        <v>1782</v>
      </c>
    </row>
    <row r="75" spans="1:4" x14ac:dyDescent="0.25">
      <c r="A75" s="95">
        <v>45469</v>
      </c>
      <c r="B75" s="96">
        <v>6308.37</v>
      </c>
      <c r="C75" s="96">
        <v>19696804.390000001</v>
      </c>
      <c r="D75" s="97" t="s">
        <v>1782</v>
      </c>
    </row>
    <row r="76" spans="1:4" x14ac:dyDescent="0.25">
      <c r="A76" s="98">
        <v>45470</v>
      </c>
      <c r="B76" s="99">
        <v>6308.37</v>
      </c>
      <c r="C76" s="99">
        <v>19696804.390000001</v>
      </c>
      <c r="D76" s="100" t="s">
        <v>1782</v>
      </c>
    </row>
    <row r="77" spans="1:4" x14ac:dyDescent="0.25">
      <c r="A77" s="95">
        <v>45471</v>
      </c>
      <c r="B77" s="96">
        <v>6308.37</v>
      </c>
      <c r="C77" s="96">
        <v>19696804.390000001</v>
      </c>
      <c r="D77" s="97" t="s">
        <v>1782</v>
      </c>
    </row>
    <row r="78" spans="1:4" x14ac:dyDescent="0.25">
      <c r="A78" s="98">
        <v>45472</v>
      </c>
      <c r="B78" s="99">
        <v>6308.37</v>
      </c>
      <c r="C78" s="99">
        <v>19696804.390000001</v>
      </c>
      <c r="D78" s="100" t="s">
        <v>1782</v>
      </c>
    </row>
    <row r="79" spans="1:4" x14ac:dyDescent="0.25">
      <c r="A79" s="95">
        <v>45473</v>
      </c>
      <c r="B79" s="96">
        <v>6189.23</v>
      </c>
      <c r="C79" s="96">
        <v>19324804.390000001</v>
      </c>
      <c r="D79" s="97" t="s">
        <v>1782</v>
      </c>
    </row>
    <row r="80" spans="1:4" x14ac:dyDescent="0.25">
      <c r="A80" s="98">
        <v>45474</v>
      </c>
      <c r="B80" s="99">
        <v>6189.23</v>
      </c>
      <c r="C80" s="99">
        <v>19324804.390000001</v>
      </c>
      <c r="D80" s="100" t="s">
        <v>1782</v>
      </c>
    </row>
    <row r="81" spans="1:4" x14ac:dyDescent="0.25">
      <c r="A81" s="95">
        <v>45475</v>
      </c>
      <c r="B81" s="96">
        <v>6189.23</v>
      </c>
      <c r="C81" s="96">
        <v>19324804.390000001</v>
      </c>
      <c r="D81" s="97" t="s">
        <v>1782</v>
      </c>
    </row>
    <row r="82" spans="1:4" x14ac:dyDescent="0.25">
      <c r="A82" s="98">
        <v>45476</v>
      </c>
      <c r="B82" s="99">
        <v>5556.69</v>
      </c>
      <c r="C82" s="99">
        <v>17349804.390000001</v>
      </c>
      <c r="D82" s="100" t="s">
        <v>1782</v>
      </c>
    </row>
    <row r="83" spans="1:4" x14ac:dyDescent="0.25">
      <c r="A83" s="95">
        <v>45477</v>
      </c>
      <c r="B83" s="96">
        <v>5572.7</v>
      </c>
      <c r="C83" s="96">
        <v>17399804.390000001</v>
      </c>
      <c r="D83" s="97" t="s">
        <v>1782</v>
      </c>
    </row>
    <row r="84" spans="1:4" x14ac:dyDescent="0.25">
      <c r="A84" s="98">
        <v>45478</v>
      </c>
      <c r="B84" s="99">
        <v>5700.81</v>
      </c>
      <c r="C84" s="99">
        <v>17799804.390000001</v>
      </c>
      <c r="D84" s="100" t="s">
        <v>1782</v>
      </c>
    </row>
    <row r="85" spans="1:4" x14ac:dyDescent="0.25">
      <c r="A85" s="95">
        <v>45479</v>
      </c>
      <c r="B85" s="96">
        <v>5700.81</v>
      </c>
      <c r="C85" s="96">
        <v>17799804.390000001</v>
      </c>
      <c r="D85" s="97" t="s">
        <v>1782</v>
      </c>
    </row>
    <row r="86" spans="1:4" x14ac:dyDescent="0.25">
      <c r="A86" s="98">
        <v>45480</v>
      </c>
      <c r="B86" s="99">
        <v>5700.81</v>
      </c>
      <c r="C86" s="99">
        <v>17799804.390000001</v>
      </c>
      <c r="D86" s="100" t="s">
        <v>1782</v>
      </c>
    </row>
    <row r="87" spans="1:4" x14ac:dyDescent="0.25">
      <c r="A87" s="95">
        <v>45481</v>
      </c>
      <c r="B87" s="96">
        <v>5844.94</v>
      </c>
      <c r="C87" s="96">
        <v>18249804.390000001</v>
      </c>
      <c r="D87" s="97" t="s">
        <v>1782</v>
      </c>
    </row>
    <row r="88" spans="1:4" x14ac:dyDescent="0.25">
      <c r="A88" s="98">
        <v>45482</v>
      </c>
      <c r="B88" s="99">
        <v>5844.94</v>
      </c>
      <c r="C88" s="99">
        <v>18249804.390000001</v>
      </c>
      <c r="D88" s="100" t="s">
        <v>1782</v>
      </c>
    </row>
    <row r="89" spans="1:4" x14ac:dyDescent="0.25">
      <c r="A89" s="95">
        <v>45483</v>
      </c>
      <c r="B89" s="96">
        <v>6165.21</v>
      </c>
      <c r="C89" s="96">
        <v>19249804.390000001</v>
      </c>
      <c r="D89" s="97" t="s">
        <v>1782</v>
      </c>
    </row>
    <row r="90" spans="1:4" x14ac:dyDescent="0.25">
      <c r="A90" s="98">
        <v>45484</v>
      </c>
      <c r="B90" s="99">
        <v>6165.21</v>
      </c>
      <c r="C90" s="99">
        <v>19249804.390000001</v>
      </c>
      <c r="D90" s="100" t="s">
        <v>1782</v>
      </c>
    </row>
    <row r="91" spans="1:4" x14ac:dyDescent="0.25">
      <c r="A91" s="95">
        <v>45485</v>
      </c>
      <c r="B91" s="96">
        <v>6165.21</v>
      </c>
      <c r="C91" s="96">
        <v>19249804.390000001</v>
      </c>
      <c r="D91" s="97" t="s">
        <v>1782</v>
      </c>
    </row>
    <row r="92" spans="1:4" x14ac:dyDescent="0.25">
      <c r="A92" s="98">
        <v>45486</v>
      </c>
      <c r="B92" s="99">
        <v>6165.21</v>
      </c>
      <c r="C92" s="99">
        <v>19249804.390000001</v>
      </c>
      <c r="D92" s="100" t="s">
        <v>1782</v>
      </c>
    </row>
    <row r="93" spans="1:4" x14ac:dyDescent="0.25">
      <c r="A93" s="95">
        <v>45487</v>
      </c>
      <c r="B93" s="96">
        <v>6165.21</v>
      </c>
      <c r="C93" s="96">
        <v>19249804.390000001</v>
      </c>
      <c r="D93" s="97" t="s">
        <v>1782</v>
      </c>
    </row>
    <row r="94" spans="1:4" x14ac:dyDescent="0.25">
      <c r="A94" s="98">
        <v>45488</v>
      </c>
      <c r="B94" s="99">
        <v>6165.21</v>
      </c>
      <c r="C94" s="99">
        <v>19249804.390000001</v>
      </c>
      <c r="D94" s="100" t="s">
        <v>1782</v>
      </c>
    </row>
    <row r="95" spans="1:4" x14ac:dyDescent="0.25">
      <c r="A95" s="95">
        <v>45488</v>
      </c>
      <c r="B95" s="96">
        <v>650366.92000000004</v>
      </c>
      <c r="C95" s="101"/>
      <c r="D95" s="97" t="s">
        <v>1783</v>
      </c>
    </row>
  </sheetData>
  <pageMargins left="0.7" right="0.7" top="0.75" bottom="0.75" header="0.3" footer="0.3"/>
  <pageSetup orientation="portrait" horizontalDpi="0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filterMode="1"/>
  <dimension ref="A1:C622"/>
  <sheetViews>
    <sheetView topLeftCell="A314" workbookViewId="0">
      <selection activeCell="G272" sqref="G272"/>
    </sheetView>
  </sheetViews>
  <sheetFormatPr defaultRowHeight="15" x14ac:dyDescent="0.25"/>
  <cols>
    <col min="1" max="1" width="32.85546875" bestFit="1" customWidth="1"/>
  </cols>
  <sheetData>
    <row r="1" spans="1:3" x14ac:dyDescent="0.25">
      <c r="A1" s="13" t="s">
        <v>341</v>
      </c>
      <c r="B1" s="19">
        <v>1</v>
      </c>
    </row>
    <row r="2" spans="1:3" hidden="1" x14ac:dyDescent="0.25">
      <c r="A2" s="13" t="s">
        <v>341</v>
      </c>
      <c r="B2" s="19">
        <v>4</v>
      </c>
    </row>
    <row r="3" spans="1:3" hidden="1" x14ac:dyDescent="0.25">
      <c r="A3" s="13" t="s">
        <v>341</v>
      </c>
      <c r="B3" s="19">
        <v>10</v>
      </c>
    </row>
    <row r="4" spans="1:3" hidden="1" x14ac:dyDescent="0.25">
      <c r="A4" s="13" t="s">
        <v>341</v>
      </c>
      <c r="B4" s="19">
        <v>20</v>
      </c>
    </row>
    <row r="5" spans="1:3" hidden="1" x14ac:dyDescent="0.25">
      <c r="A5" s="13" t="s">
        <v>342</v>
      </c>
      <c r="B5" s="19">
        <v>1</v>
      </c>
    </row>
    <row r="6" spans="1:3" hidden="1" x14ac:dyDescent="0.25">
      <c r="A6" s="13" t="s">
        <v>342</v>
      </c>
      <c r="B6" s="19">
        <v>4</v>
      </c>
    </row>
    <row r="7" spans="1:3" x14ac:dyDescent="0.25">
      <c r="A7" s="13" t="s">
        <v>342</v>
      </c>
      <c r="B7" s="19">
        <v>10</v>
      </c>
      <c r="C7">
        <v>5</v>
      </c>
    </row>
    <row r="8" spans="1:3" hidden="1" x14ac:dyDescent="0.25">
      <c r="A8" s="13" t="s">
        <v>342</v>
      </c>
      <c r="B8" s="19">
        <v>20</v>
      </c>
    </row>
    <row r="9" spans="1:3" hidden="1" x14ac:dyDescent="0.25">
      <c r="A9" s="13" t="s">
        <v>343</v>
      </c>
      <c r="B9" s="19">
        <v>1</v>
      </c>
    </row>
    <row r="10" spans="1:3" hidden="1" x14ac:dyDescent="0.25">
      <c r="A10" s="13" t="s">
        <v>343</v>
      </c>
      <c r="B10" s="19">
        <v>4</v>
      </c>
    </row>
    <row r="11" spans="1:3" x14ac:dyDescent="0.25">
      <c r="A11" s="13" t="s">
        <v>343</v>
      </c>
      <c r="B11" s="19">
        <v>10</v>
      </c>
      <c r="C11">
        <v>5</v>
      </c>
    </row>
    <row r="12" spans="1:3" hidden="1" x14ac:dyDescent="0.25">
      <c r="A12" s="13" t="s">
        <v>343</v>
      </c>
      <c r="B12" s="19">
        <v>20</v>
      </c>
    </row>
    <row r="13" spans="1:3" hidden="1" x14ac:dyDescent="0.25">
      <c r="A13" s="13" t="s">
        <v>344</v>
      </c>
      <c r="B13" s="19">
        <v>1</v>
      </c>
    </row>
    <row r="14" spans="1:3" hidden="1" x14ac:dyDescent="0.25">
      <c r="A14" s="13" t="s">
        <v>344</v>
      </c>
      <c r="B14" s="19">
        <v>4</v>
      </c>
    </row>
    <row r="15" spans="1:3" x14ac:dyDescent="0.25">
      <c r="A15" s="13" t="s">
        <v>344</v>
      </c>
      <c r="B15" s="19">
        <v>10</v>
      </c>
      <c r="C15">
        <v>2</v>
      </c>
    </row>
    <row r="16" spans="1:3" hidden="1" x14ac:dyDescent="0.25">
      <c r="A16" s="13" t="s">
        <v>344</v>
      </c>
      <c r="B16" s="19">
        <v>20</v>
      </c>
    </row>
    <row r="17" spans="1:3" hidden="1" x14ac:dyDescent="0.25">
      <c r="A17" s="13" t="s">
        <v>345</v>
      </c>
      <c r="B17" s="19">
        <v>1</v>
      </c>
    </row>
    <row r="18" spans="1:3" hidden="1" x14ac:dyDescent="0.25">
      <c r="A18" s="13" t="s">
        <v>345</v>
      </c>
      <c r="B18" s="19">
        <v>4</v>
      </c>
    </row>
    <row r="19" spans="1:3" hidden="1" x14ac:dyDescent="0.25">
      <c r="A19" s="13" t="s">
        <v>345</v>
      </c>
      <c r="B19" s="19">
        <v>10</v>
      </c>
    </row>
    <row r="20" spans="1:3" hidden="1" x14ac:dyDescent="0.25">
      <c r="A20" s="13" t="s">
        <v>345</v>
      </c>
      <c r="B20" s="19">
        <v>20</v>
      </c>
    </row>
    <row r="21" spans="1:3" x14ac:dyDescent="0.25">
      <c r="A21" s="13" t="s">
        <v>346</v>
      </c>
      <c r="B21" s="19">
        <v>1</v>
      </c>
      <c r="C21">
        <v>12</v>
      </c>
    </row>
    <row r="22" spans="1:3" x14ac:dyDescent="0.25">
      <c r="A22" s="13" t="s">
        <v>346</v>
      </c>
      <c r="B22" s="19">
        <v>4</v>
      </c>
      <c r="C22">
        <v>4</v>
      </c>
    </row>
    <row r="23" spans="1:3" x14ac:dyDescent="0.25">
      <c r="A23" s="13" t="s">
        <v>346</v>
      </c>
      <c r="B23" s="19">
        <v>10</v>
      </c>
      <c r="C23">
        <v>5</v>
      </c>
    </row>
    <row r="24" spans="1:3" x14ac:dyDescent="0.25">
      <c r="A24" s="13" t="s">
        <v>346</v>
      </c>
      <c r="B24" s="19">
        <v>20</v>
      </c>
      <c r="C24">
        <v>5</v>
      </c>
    </row>
    <row r="25" spans="1:3" hidden="1" x14ac:dyDescent="0.25">
      <c r="A25" s="13" t="s">
        <v>347</v>
      </c>
      <c r="B25" s="19">
        <v>1</v>
      </c>
    </row>
    <row r="26" spans="1:3" hidden="1" x14ac:dyDescent="0.25">
      <c r="A26" s="13" t="s">
        <v>347</v>
      </c>
      <c r="B26" s="19">
        <v>4</v>
      </c>
    </row>
    <row r="27" spans="1:3" x14ac:dyDescent="0.25">
      <c r="A27" s="13" t="s">
        <v>347</v>
      </c>
      <c r="B27" s="19">
        <v>10</v>
      </c>
      <c r="C27">
        <v>6</v>
      </c>
    </row>
    <row r="28" spans="1:3" x14ac:dyDescent="0.25">
      <c r="A28" s="13" t="s">
        <v>347</v>
      </c>
      <c r="B28" s="19">
        <v>20</v>
      </c>
      <c r="C28">
        <v>5</v>
      </c>
    </row>
    <row r="29" spans="1:3" hidden="1" x14ac:dyDescent="0.25">
      <c r="A29" s="13" t="s">
        <v>348</v>
      </c>
      <c r="B29" s="19">
        <v>1</v>
      </c>
    </row>
    <row r="30" spans="1:3" hidden="1" x14ac:dyDescent="0.25">
      <c r="A30" s="13" t="s">
        <v>348</v>
      </c>
      <c r="B30" s="19">
        <v>4</v>
      </c>
    </row>
    <row r="31" spans="1:3" x14ac:dyDescent="0.25">
      <c r="A31" s="13" t="s">
        <v>348</v>
      </c>
      <c r="B31" s="19">
        <v>10</v>
      </c>
      <c r="C31">
        <v>5</v>
      </c>
    </row>
    <row r="32" spans="1:3" x14ac:dyDescent="0.25">
      <c r="A32" s="13" t="s">
        <v>348</v>
      </c>
      <c r="B32" s="19">
        <v>20</v>
      </c>
      <c r="C32">
        <v>5</v>
      </c>
    </row>
    <row r="33" spans="1:2" hidden="1" x14ac:dyDescent="0.25">
      <c r="A33" s="13"/>
      <c r="B33" s="19"/>
    </row>
    <row r="34" spans="1:2" hidden="1" x14ac:dyDescent="0.25">
      <c r="A34" s="13" t="s">
        <v>349</v>
      </c>
      <c r="B34" s="19">
        <v>1</v>
      </c>
    </row>
    <row r="35" spans="1:2" hidden="1" x14ac:dyDescent="0.25">
      <c r="A35" s="13" t="s">
        <v>349</v>
      </c>
      <c r="B35" s="19">
        <v>4</v>
      </c>
    </row>
    <row r="36" spans="1:2" hidden="1" x14ac:dyDescent="0.25">
      <c r="A36" s="13" t="s">
        <v>349</v>
      </c>
      <c r="B36" s="19">
        <v>10</v>
      </c>
    </row>
    <row r="37" spans="1:2" hidden="1" x14ac:dyDescent="0.25">
      <c r="A37" s="13" t="s">
        <v>349</v>
      </c>
      <c r="B37" s="19">
        <v>20</v>
      </c>
    </row>
    <row r="38" spans="1:2" hidden="1" x14ac:dyDescent="0.25">
      <c r="A38" s="13" t="s">
        <v>350</v>
      </c>
      <c r="B38" s="19">
        <v>1</v>
      </c>
    </row>
    <row r="39" spans="1:2" hidden="1" x14ac:dyDescent="0.25">
      <c r="A39" s="3">
        <v>65744</v>
      </c>
      <c r="B39" s="19">
        <v>4</v>
      </c>
    </row>
    <row r="40" spans="1:2" hidden="1" x14ac:dyDescent="0.25">
      <c r="A40" s="13" t="s">
        <v>350</v>
      </c>
      <c r="B40" s="19">
        <v>10</v>
      </c>
    </row>
    <row r="41" spans="1:2" hidden="1" x14ac:dyDescent="0.25">
      <c r="A41" s="13" t="s">
        <v>350</v>
      </c>
      <c r="B41" s="19">
        <v>20</v>
      </c>
    </row>
    <row r="42" spans="1:2" hidden="1" x14ac:dyDescent="0.25">
      <c r="A42" s="13" t="s">
        <v>351</v>
      </c>
      <c r="B42" s="19">
        <v>1</v>
      </c>
    </row>
    <row r="43" spans="1:2" hidden="1" x14ac:dyDescent="0.25">
      <c r="A43" s="13" t="s">
        <v>351</v>
      </c>
      <c r="B43" s="19">
        <v>4</v>
      </c>
    </row>
    <row r="44" spans="1:2" hidden="1" x14ac:dyDescent="0.25">
      <c r="A44" s="13" t="s">
        <v>351</v>
      </c>
      <c r="B44" s="19">
        <v>10</v>
      </c>
    </row>
    <row r="45" spans="1:2" hidden="1" x14ac:dyDescent="0.25">
      <c r="A45" s="13" t="s">
        <v>351</v>
      </c>
      <c r="B45" s="19">
        <v>20</v>
      </c>
    </row>
    <row r="46" spans="1:2" hidden="1" x14ac:dyDescent="0.25">
      <c r="A46" s="13" t="s">
        <v>352</v>
      </c>
      <c r="B46" s="19">
        <v>1</v>
      </c>
    </row>
    <row r="47" spans="1:2" hidden="1" x14ac:dyDescent="0.25">
      <c r="A47" s="13" t="s">
        <v>352</v>
      </c>
      <c r="B47" s="19">
        <v>4</v>
      </c>
    </row>
    <row r="48" spans="1:2" hidden="1" x14ac:dyDescent="0.25">
      <c r="A48" s="13" t="s">
        <v>352</v>
      </c>
      <c r="B48" s="19">
        <v>10</v>
      </c>
    </row>
    <row r="49" spans="1:3" hidden="1" x14ac:dyDescent="0.25">
      <c r="A49" s="13" t="s">
        <v>352</v>
      </c>
      <c r="B49" s="19">
        <v>20</v>
      </c>
    </row>
    <row r="50" spans="1:3" hidden="1" x14ac:dyDescent="0.25">
      <c r="A50" s="13" t="s">
        <v>353</v>
      </c>
      <c r="B50" s="19">
        <v>1</v>
      </c>
    </row>
    <row r="51" spans="1:3" hidden="1" x14ac:dyDescent="0.25">
      <c r="A51" s="13" t="s">
        <v>353</v>
      </c>
      <c r="B51" s="19">
        <v>4</v>
      </c>
    </row>
    <row r="52" spans="1:3" hidden="1" x14ac:dyDescent="0.25">
      <c r="A52" s="13" t="s">
        <v>353</v>
      </c>
      <c r="B52" s="19">
        <v>10</v>
      </c>
    </row>
    <row r="53" spans="1:3" hidden="1" x14ac:dyDescent="0.25">
      <c r="A53" s="13" t="s">
        <v>353</v>
      </c>
      <c r="B53" s="19">
        <v>20</v>
      </c>
    </row>
    <row r="54" spans="1:3" hidden="1" x14ac:dyDescent="0.25">
      <c r="A54" s="13" t="s">
        <v>354</v>
      </c>
      <c r="B54" s="19">
        <v>0.97</v>
      </c>
    </row>
    <row r="55" spans="1:3" hidden="1" x14ac:dyDescent="0.25">
      <c r="A55" s="13" t="s">
        <v>354</v>
      </c>
      <c r="B55" s="19">
        <v>3.9</v>
      </c>
    </row>
    <row r="56" spans="1:3" hidden="1" x14ac:dyDescent="0.25">
      <c r="A56" s="13" t="s">
        <v>354</v>
      </c>
      <c r="B56" s="19">
        <v>9.76</v>
      </c>
    </row>
    <row r="57" spans="1:3" hidden="1" x14ac:dyDescent="0.25">
      <c r="A57" s="13" t="s">
        <v>354</v>
      </c>
      <c r="B57" s="19">
        <v>19.53</v>
      </c>
    </row>
    <row r="58" spans="1:3" x14ac:dyDescent="0.25">
      <c r="A58" s="13" t="s">
        <v>355</v>
      </c>
      <c r="B58" s="19">
        <v>0.97</v>
      </c>
      <c r="C58">
        <v>30</v>
      </c>
    </row>
    <row r="59" spans="1:3" hidden="1" x14ac:dyDescent="0.25">
      <c r="A59" s="13" t="s">
        <v>355</v>
      </c>
      <c r="B59" s="19">
        <v>3.9</v>
      </c>
    </row>
    <row r="60" spans="1:3" hidden="1" x14ac:dyDescent="0.25">
      <c r="A60" s="13" t="s">
        <v>355</v>
      </c>
      <c r="B60" s="19">
        <v>9.76</v>
      </c>
    </row>
    <row r="61" spans="1:3" hidden="1" x14ac:dyDescent="0.25">
      <c r="A61" s="13" t="s">
        <v>355</v>
      </c>
      <c r="B61" s="19">
        <v>19.53</v>
      </c>
    </row>
    <row r="62" spans="1:3" hidden="1" x14ac:dyDescent="0.25">
      <c r="A62" s="13" t="s">
        <v>356</v>
      </c>
      <c r="B62" s="19">
        <v>0.97</v>
      </c>
    </row>
    <row r="63" spans="1:3" hidden="1" x14ac:dyDescent="0.25">
      <c r="A63" s="13" t="s">
        <v>356</v>
      </c>
      <c r="B63" s="19">
        <v>3.9</v>
      </c>
    </row>
    <row r="64" spans="1:3" hidden="1" x14ac:dyDescent="0.25">
      <c r="A64" s="13" t="s">
        <v>356</v>
      </c>
      <c r="B64" s="19">
        <v>9.76</v>
      </c>
    </row>
    <row r="65" spans="1:2" hidden="1" x14ac:dyDescent="0.25">
      <c r="A65" s="13" t="s">
        <v>356</v>
      </c>
      <c r="B65" s="19">
        <v>19.53</v>
      </c>
    </row>
    <row r="66" spans="1:2" hidden="1" x14ac:dyDescent="0.25">
      <c r="A66" s="13"/>
      <c r="B66" s="19"/>
    </row>
    <row r="67" spans="1:2" hidden="1" x14ac:dyDescent="0.25">
      <c r="A67" s="13" t="s">
        <v>357</v>
      </c>
      <c r="B67" s="19">
        <v>1</v>
      </c>
    </row>
    <row r="68" spans="1:2" hidden="1" x14ac:dyDescent="0.25">
      <c r="A68" s="13" t="s">
        <v>357</v>
      </c>
      <c r="B68" s="19">
        <v>4</v>
      </c>
    </row>
    <row r="69" spans="1:2" hidden="1" x14ac:dyDescent="0.25">
      <c r="A69" s="13" t="s">
        <v>357</v>
      </c>
      <c r="B69" s="19">
        <v>10</v>
      </c>
    </row>
    <row r="70" spans="1:2" hidden="1" x14ac:dyDescent="0.25">
      <c r="A70" s="13" t="s">
        <v>357</v>
      </c>
      <c r="B70" s="19">
        <v>20</v>
      </c>
    </row>
    <row r="71" spans="1:2" hidden="1" x14ac:dyDescent="0.25">
      <c r="A71" s="13" t="s">
        <v>358</v>
      </c>
      <c r="B71" s="19">
        <v>1</v>
      </c>
    </row>
    <row r="72" spans="1:2" hidden="1" x14ac:dyDescent="0.25">
      <c r="A72" s="13" t="s">
        <v>358</v>
      </c>
      <c r="B72" s="19">
        <v>4</v>
      </c>
    </row>
    <row r="73" spans="1:2" hidden="1" x14ac:dyDescent="0.25">
      <c r="A73" s="13" t="s">
        <v>358</v>
      </c>
      <c r="B73" s="19">
        <v>10</v>
      </c>
    </row>
    <row r="74" spans="1:2" hidden="1" x14ac:dyDescent="0.25">
      <c r="A74" s="13" t="s">
        <v>358</v>
      </c>
      <c r="B74" s="19">
        <v>20</v>
      </c>
    </row>
    <row r="75" spans="1:2" hidden="1" x14ac:dyDescent="0.25">
      <c r="A75" s="13" t="s">
        <v>359</v>
      </c>
      <c r="B75" s="19">
        <v>1</v>
      </c>
    </row>
    <row r="76" spans="1:2" hidden="1" x14ac:dyDescent="0.25">
      <c r="A76" s="13" t="s">
        <v>359</v>
      </c>
      <c r="B76" s="19">
        <v>4</v>
      </c>
    </row>
    <row r="77" spans="1:2" hidden="1" x14ac:dyDescent="0.25">
      <c r="A77" s="13" t="s">
        <v>359</v>
      </c>
      <c r="B77" s="19">
        <v>10</v>
      </c>
    </row>
    <row r="78" spans="1:2" hidden="1" x14ac:dyDescent="0.25">
      <c r="A78" s="13" t="s">
        <v>359</v>
      </c>
      <c r="B78" s="19">
        <v>20</v>
      </c>
    </row>
    <row r="79" spans="1:2" hidden="1" x14ac:dyDescent="0.25">
      <c r="A79" s="13" t="s">
        <v>360</v>
      </c>
      <c r="B79" s="19">
        <v>1</v>
      </c>
    </row>
    <row r="80" spans="1:2" hidden="1" x14ac:dyDescent="0.25">
      <c r="A80" s="13" t="s">
        <v>360</v>
      </c>
      <c r="B80" s="19">
        <v>4</v>
      </c>
    </row>
    <row r="81" spans="1:2" hidden="1" x14ac:dyDescent="0.25">
      <c r="A81" s="13" t="s">
        <v>360</v>
      </c>
      <c r="B81" s="19">
        <v>10</v>
      </c>
    </row>
    <row r="82" spans="1:2" hidden="1" x14ac:dyDescent="0.25">
      <c r="A82" s="13" t="s">
        <v>360</v>
      </c>
      <c r="B82" s="19">
        <v>20</v>
      </c>
    </row>
    <row r="83" spans="1:2" hidden="1" x14ac:dyDescent="0.25">
      <c r="A83" s="13" t="s">
        <v>8</v>
      </c>
      <c r="B83" s="19">
        <v>0.97504999999999997</v>
      </c>
    </row>
    <row r="84" spans="1:2" hidden="1" x14ac:dyDescent="0.25">
      <c r="A84" s="13" t="s">
        <v>8</v>
      </c>
      <c r="B84" s="19">
        <v>3.9</v>
      </c>
    </row>
    <row r="85" spans="1:2" hidden="1" x14ac:dyDescent="0.25">
      <c r="A85" s="13" t="s">
        <v>8</v>
      </c>
      <c r="B85" s="19">
        <v>9.75</v>
      </c>
    </row>
    <row r="86" spans="1:2" hidden="1" x14ac:dyDescent="0.25">
      <c r="A86" s="13" t="s">
        <v>8</v>
      </c>
      <c r="B86" s="19">
        <v>19.5</v>
      </c>
    </row>
    <row r="87" spans="1:2" hidden="1" x14ac:dyDescent="0.25">
      <c r="A87" s="13" t="s">
        <v>361</v>
      </c>
      <c r="B87" s="19">
        <v>0.97499999999999998</v>
      </c>
    </row>
    <row r="88" spans="1:2" hidden="1" x14ac:dyDescent="0.25">
      <c r="A88" s="13" t="s">
        <v>361</v>
      </c>
      <c r="B88" s="19">
        <v>3.9</v>
      </c>
    </row>
    <row r="89" spans="1:2" hidden="1" x14ac:dyDescent="0.25">
      <c r="A89" s="13" t="s">
        <v>361</v>
      </c>
      <c r="B89" s="19">
        <v>9.75</v>
      </c>
    </row>
    <row r="90" spans="1:2" hidden="1" x14ac:dyDescent="0.25">
      <c r="A90" s="13" t="s">
        <v>361</v>
      </c>
      <c r="B90" s="19">
        <v>19.5</v>
      </c>
    </row>
    <row r="91" spans="1:2" hidden="1" x14ac:dyDescent="0.25">
      <c r="A91" s="13" t="s">
        <v>362</v>
      </c>
      <c r="B91" s="19">
        <v>0.97499999999999998</v>
      </c>
    </row>
    <row r="92" spans="1:2" hidden="1" x14ac:dyDescent="0.25">
      <c r="A92" s="13" t="s">
        <v>362</v>
      </c>
      <c r="B92" s="19">
        <v>3.9</v>
      </c>
    </row>
    <row r="93" spans="1:2" hidden="1" x14ac:dyDescent="0.25">
      <c r="A93" s="13" t="s">
        <v>362</v>
      </c>
      <c r="B93" s="19">
        <v>9.75</v>
      </c>
    </row>
    <row r="94" spans="1:2" hidden="1" x14ac:dyDescent="0.25">
      <c r="A94" s="13" t="s">
        <v>362</v>
      </c>
      <c r="B94" s="19">
        <v>19.5</v>
      </c>
    </row>
    <row r="95" spans="1:2" hidden="1" x14ac:dyDescent="0.25">
      <c r="A95" s="13"/>
      <c r="B95" s="19"/>
    </row>
    <row r="96" spans="1:2" hidden="1" x14ac:dyDescent="0.25">
      <c r="A96" s="13" t="s">
        <v>11</v>
      </c>
      <c r="B96" s="19">
        <v>1</v>
      </c>
    </row>
    <row r="97" spans="1:2" hidden="1" x14ac:dyDescent="0.25">
      <c r="A97" s="13" t="s">
        <v>11</v>
      </c>
      <c r="B97" s="19">
        <v>4</v>
      </c>
    </row>
    <row r="98" spans="1:2" hidden="1" x14ac:dyDescent="0.25">
      <c r="A98" s="13" t="s">
        <v>11</v>
      </c>
      <c r="B98" s="19">
        <v>10</v>
      </c>
    </row>
    <row r="99" spans="1:2" hidden="1" x14ac:dyDescent="0.25">
      <c r="A99" s="13" t="s">
        <v>11</v>
      </c>
      <c r="B99" s="19">
        <v>20</v>
      </c>
    </row>
    <row r="100" spans="1:2" hidden="1" x14ac:dyDescent="0.25">
      <c r="A100" s="13" t="s">
        <v>12</v>
      </c>
      <c r="B100" s="19">
        <v>1</v>
      </c>
    </row>
    <row r="101" spans="1:2" hidden="1" x14ac:dyDescent="0.25">
      <c r="A101" s="13" t="s">
        <v>12</v>
      </c>
      <c r="B101" s="19">
        <v>4</v>
      </c>
    </row>
    <row r="102" spans="1:2" hidden="1" x14ac:dyDescent="0.25">
      <c r="A102" s="13" t="s">
        <v>12</v>
      </c>
      <c r="B102" s="19">
        <v>10</v>
      </c>
    </row>
    <row r="103" spans="1:2" hidden="1" x14ac:dyDescent="0.25">
      <c r="A103" s="13" t="s">
        <v>12</v>
      </c>
      <c r="B103" s="19">
        <v>20</v>
      </c>
    </row>
    <row r="104" spans="1:2" hidden="1" x14ac:dyDescent="0.25">
      <c r="A104" s="13" t="s">
        <v>364</v>
      </c>
      <c r="B104" s="19">
        <v>1</v>
      </c>
    </row>
    <row r="105" spans="1:2" hidden="1" x14ac:dyDescent="0.25">
      <c r="A105" s="13" t="s">
        <v>364</v>
      </c>
      <c r="B105" s="19">
        <v>4</v>
      </c>
    </row>
    <row r="106" spans="1:2" hidden="1" x14ac:dyDescent="0.25">
      <c r="A106" s="13" t="s">
        <v>364</v>
      </c>
      <c r="B106" s="19">
        <v>10</v>
      </c>
    </row>
    <row r="107" spans="1:2" hidden="1" x14ac:dyDescent="0.25">
      <c r="A107" s="13" t="s">
        <v>364</v>
      </c>
      <c r="B107" s="19">
        <v>20</v>
      </c>
    </row>
    <row r="108" spans="1:2" hidden="1" x14ac:dyDescent="0.25">
      <c r="A108" s="13" t="s">
        <v>365</v>
      </c>
      <c r="B108" s="19">
        <v>1</v>
      </c>
    </row>
    <row r="109" spans="1:2" hidden="1" x14ac:dyDescent="0.25">
      <c r="A109" s="13" t="s">
        <v>365</v>
      </c>
      <c r="B109" s="19">
        <v>4</v>
      </c>
    </row>
    <row r="110" spans="1:2" hidden="1" x14ac:dyDescent="0.25">
      <c r="A110" s="13" t="s">
        <v>365</v>
      </c>
      <c r="B110" s="19">
        <v>10</v>
      </c>
    </row>
    <row r="111" spans="1:2" hidden="1" x14ac:dyDescent="0.25">
      <c r="A111" s="13" t="s">
        <v>365</v>
      </c>
      <c r="B111" s="19">
        <v>20</v>
      </c>
    </row>
    <row r="112" spans="1:2" hidden="1" x14ac:dyDescent="0.25">
      <c r="A112" s="13"/>
      <c r="B112" s="19"/>
    </row>
    <row r="113" spans="1:2" hidden="1" x14ac:dyDescent="0.25">
      <c r="A113" s="13" t="s">
        <v>14</v>
      </c>
      <c r="B113" s="19">
        <v>1</v>
      </c>
    </row>
    <row r="114" spans="1:2" hidden="1" x14ac:dyDescent="0.25">
      <c r="A114" s="13" t="s">
        <v>14</v>
      </c>
      <c r="B114" s="19">
        <v>4</v>
      </c>
    </row>
    <row r="115" spans="1:2" hidden="1" x14ac:dyDescent="0.25">
      <c r="A115" s="13" t="s">
        <v>14</v>
      </c>
      <c r="B115" s="19">
        <v>10</v>
      </c>
    </row>
    <row r="116" spans="1:2" hidden="1" x14ac:dyDescent="0.25">
      <c r="A116" s="13" t="s">
        <v>14</v>
      </c>
      <c r="B116" s="19">
        <v>20</v>
      </c>
    </row>
    <row r="117" spans="1:2" hidden="1" x14ac:dyDescent="0.25">
      <c r="A117" s="13" t="s">
        <v>15</v>
      </c>
      <c r="B117" s="19">
        <v>1</v>
      </c>
    </row>
    <row r="118" spans="1:2" hidden="1" x14ac:dyDescent="0.25">
      <c r="A118" s="13" t="s">
        <v>15</v>
      </c>
      <c r="B118" s="19">
        <v>4</v>
      </c>
    </row>
    <row r="119" spans="1:2" hidden="1" x14ac:dyDescent="0.25">
      <c r="A119" s="13" t="s">
        <v>15</v>
      </c>
      <c r="B119" s="19">
        <v>10</v>
      </c>
    </row>
    <row r="120" spans="1:2" hidden="1" x14ac:dyDescent="0.25">
      <c r="A120" s="13" t="s">
        <v>15</v>
      </c>
      <c r="B120" s="19">
        <v>20</v>
      </c>
    </row>
    <row r="121" spans="1:2" hidden="1" x14ac:dyDescent="0.25">
      <c r="A121" s="13" t="s">
        <v>16</v>
      </c>
      <c r="B121" s="19">
        <v>20</v>
      </c>
    </row>
    <row r="122" spans="1:2" hidden="1" x14ac:dyDescent="0.25">
      <c r="A122" s="13" t="s">
        <v>16</v>
      </c>
      <c r="B122" s="19">
        <v>1</v>
      </c>
    </row>
    <row r="123" spans="1:2" hidden="1" x14ac:dyDescent="0.25">
      <c r="A123" s="13" t="s">
        <v>16</v>
      </c>
      <c r="B123" s="19">
        <v>4</v>
      </c>
    </row>
    <row r="124" spans="1:2" hidden="1" x14ac:dyDescent="0.25">
      <c r="A124" s="13" t="s">
        <v>16</v>
      </c>
      <c r="B124" s="19">
        <v>10</v>
      </c>
    </row>
    <row r="125" spans="1:2" hidden="1" x14ac:dyDescent="0.25">
      <c r="A125" s="13"/>
      <c r="B125" s="19">
        <v>20</v>
      </c>
    </row>
    <row r="126" spans="1:2" hidden="1" x14ac:dyDescent="0.25">
      <c r="A126" s="13" t="s">
        <v>17</v>
      </c>
      <c r="B126" s="19"/>
    </row>
    <row r="127" spans="1:2" hidden="1" x14ac:dyDescent="0.25">
      <c r="A127" s="13" t="s">
        <v>17</v>
      </c>
      <c r="B127" s="19">
        <v>1</v>
      </c>
    </row>
    <row r="128" spans="1:2" hidden="1" x14ac:dyDescent="0.25">
      <c r="A128" s="13" t="s">
        <v>17</v>
      </c>
      <c r="B128" s="19">
        <v>4</v>
      </c>
    </row>
    <row r="129" spans="1:2" hidden="1" x14ac:dyDescent="0.25">
      <c r="A129" s="13" t="s">
        <v>17</v>
      </c>
      <c r="B129" s="19">
        <v>10</v>
      </c>
    </row>
    <row r="130" spans="1:2" hidden="1" x14ac:dyDescent="0.25">
      <c r="A130" s="13"/>
      <c r="B130" s="19">
        <v>20</v>
      </c>
    </row>
    <row r="131" spans="1:2" hidden="1" x14ac:dyDescent="0.25">
      <c r="A131" s="13" t="s">
        <v>18</v>
      </c>
      <c r="B131" s="19">
        <v>1</v>
      </c>
    </row>
    <row r="132" spans="1:2" hidden="1" x14ac:dyDescent="0.25">
      <c r="A132" s="13" t="s">
        <v>18</v>
      </c>
      <c r="B132" s="19">
        <v>4</v>
      </c>
    </row>
    <row r="133" spans="1:2" hidden="1" x14ac:dyDescent="0.25">
      <c r="A133" s="13" t="s">
        <v>18</v>
      </c>
      <c r="B133" s="19">
        <v>10</v>
      </c>
    </row>
    <row r="134" spans="1:2" hidden="1" x14ac:dyDescent="0.25">
      <c r="A134" s="13" t="s">
        <v>18</v>
      </c>
      <c r="B134" s="19">
        <v>20</v>
      </c>
    </row>
    <row r="135" spans="1:2" hidden="1" x14ac:dyDescent="0.25">
      <c r="A135" s="13" t="s">
        <v>19</v>
      </c>
      <c r="B135" s="19">
        <v>1</v>
      </c>
    </row>
    <row r="136" spans="1:2" hidden="1" x14ac:dyDescent="0.25">
      <c r="A136" s="13" t="s">
        <v>19</v>
      </c>
      <c r="B136" s="19">
        <v>4</v>
      </c>
    </row>
    <row r="137" spans="1:2" hidden="1" x14ac:dyDescent="0.25">
      <c r="A137" s="13" t="s">
        <v>19</v>
      </c>
      <c r="B137" s="19">
        <v>10</v>
      </c>
    </row>
    <row r="138" spans="1:2" hidden="1" x14ac:dyDescent="0.25">
      <c r="A138" s="13" t="s">
        <v>19</v>
      </c>
      <c r="B138" s="19">
        <v>20</v>
      </c>
    </row>
    <row r="139" spans="1:2" hidden="1" x14ac:dyDescent="0.25">
      <c r="A139" s="13" t="s">
        <v>20</v>
      </c>
      <c r="B139" s="19">
        <v>1</v>
      </c>
    </row>
    <row r="140" spans="1:2" hidden="1" x14ac:dyDescent="0.25">
      <c r="A140" s="13" t="s">
        <v>20</v>
      </c>
      <c r="B140" s="19">
        <v>4</v>
      </c>
    </row>
    <row r="141" spans="1:2" hidden="1" x14ac:dyDescent="0.25">
      <c r="A141" s="13" t="s">
        <v>20</v>
      </c>
      <c r="B141" s="19">
        <v>10</v>
      </c>
    </row>
    <row r="142" spans="1:2" hidden="1" x14ac:dyDescent="0.25">
      <c r="A142" s="13" t="s">
        <v>20</v>
      </c>
      <c r="B142" s="19">
        <v>20</v>
      </c>
    </row>
    <row r="143" spans="1:2" hidden="1" x14ac:dyDescent="0.25">
      <c r="A143" s="13"/>
      <c r="B143" s="19"/>
    </row>
    <row r="144" spans="1:2" hidden="1" x14ac:dyDescent="0.25">
      <c r="A144" s="13" t="s">
        <v>366</v>
      </c>
      <c r="B144" s="19">
        <v>1</v>
      </c>
    </row>
    <row r="145" spans="1:2" hidden="1" x14ac:dyDescent="0.25">
      <c r="A145" s="13" t="s">
        <v>366</v>
      </c>
      <c r="B145" s="19">
        <v>4</v>
      </c>
    </row>
    <row r="146" spans="1:2" hidden="1" x14ac:dyDescent="0.25">
      <c r="A146" s="13" t="s">
        <v>366</v>
      </c>
      <c r="B146" s="19">
        <v>10</v>
      </c>
    </row>
    <row r="147" spans="1:2" hidden="1" x14ac:dyDescent="0.25">
      <c r="A147" s="13" t="s">
        <v>366</v>
      </c>
      <c r="B147" s="19">
        <v>20</v>
      </c>
    </row>
    <row r="148" spans="1:2" hidden="1" x14ac:dyDescent="0.25">
      <c r="A148" s="13" t="s">
        <v>367</v>
      </c>
      <c r="B148" s="19">
        <v>1</v>
      </c>
    </row>
    <row r="149" spans="1:2" hidden="1" x14ac:dyDescent="0.25">
      <c r="A149" s="13" t="s">
        <v>367</v>
      </c>
      <c r="B149" s="19">
        <v>4</v>
      </c>
    </row>
    <row r="150" spans="1:2" hidden="1" x14ac:dyDescent="0.25">
      <c r="A150" s="13" t="s">
        <v>367</v>
      </c>
      <c r="B150" s="19">
        <v>10</v>
      </c>
    </row>
    <row r="151" spans="1:2" hidden="1" x14ac:dyDescent="0.25">
      <c r="A151" s="13" t="s">
        <v>367</v>
      </c>
      <c r="B151" s="19">
        <v>20</v>
      </c>
    </row>
    <row r="152" spans="1:2" hidden="1" x14ac:dyDescent="0.25">
      <c r="A152" s="13" t="s">
        <v>368</v>
      </c>
      <c r="B152" s="19">
        <v>1</v>
      </c>
    </row>
    <row r="153" spans="1:2" hidden="1" x14ac:dyDescent="0.25">
      <c r="A153" s="13" t="s">
        <v>368</v>
      </c>
      <c r="B153" s="19">
        <v>4</v>
      </c>
    </row>
    <row r="154" spans="1:2" hidden="1" x14ac:dyDescent="0.25">
      <c r="A154" s="13" t="s">
        <v>368</v>
      </c>
      <c r="B154" s="19">
        <v>10</v>
      </c>
    </row>
    <row r="155" spans="1:2" hidden="1" x14ac:dyDescent="0.25">
      <c r="A155" s="13" t="s">
        <v>368</v>
      </c>
      <c r="B155" s="19">
        <v>20</v>
      </c>
    </row>
    <row r="156" spans="1:2" hidden="1" x14ac:dyDescent="0.25">
      <c r="A156" s="13" t="s">
        <v>369</v>
      </c>
      <c r="B156" s="19">
        <v>1</v>
      </c>
    </row>
    <row r="157" spans="1:2" hidden="1" x14ac:dyDescent="0.25">
      <c r="A157" s="13" t="s">
        <v>369</v>
      </c>
      <c r="B157" s="19">
        <v>4</v>
      </c>
    </row>
    <row r="158" spans="1:2" hidden="1" x14ac:dyDescent="0.25">
      <c r="A158" s="13" t="s">
        <v>369</v>
      </c>
      <c r="B158" s="19">
        <v>10</v>
      </c>
    </row>
    <row r="159" spans="1:2" hidden="1" x14ac:dyDescent="0.25">
      <c r="A159" s="13" t="s">
        <v>369</v>
      </c>
      <c r="B159" s="19">
        <v>20</v>
      </c>
    </row>
    <row r="160" spans="1:2" hidden="1" x14ac:dyDescent="0.25">
      <c r="A160" s="13" t="s">
        <v>370</v>
      </c>
      <c r="B160" s="19">
        <v>1</v>
      </c>
    </row>
    <row r="161" spans="1:2" hidden="1" x14ac:dyDescent="0.25">
      <c r="A161" s="13" t="s">
        <v>23</v>
      </c>
      <c r="B161" s="19">
        <v>4</v>
      </c>
    </row>
    <row r="162" spans="1:2" hidden="1" x14ac:dyDescent="0.25">
      <c r="A162" s="13" t="s">
        <v>23</v>
      </c>
      <c r="B162" s="19">
        <v>10</v>
      </c>
    </row>
    <row r="163" spans="1:2" hidden="1" x14ac:dyDescent="0.25">
      <c r="A163" s="13" t="s">
        <v>370</v>
      </c>
      <c r="B163" s="19">
        <v>20</v>
      </c>
    </row>
    <row r="164" spans="1:2" hidden="1" x14ac:dyDescent="0.25">
      <c r="A164" s="13"/>
    </row>
    <row r="165" spans="1:2" hidden="1" x14ac:dyDescent="0.25">
      <c r="A165" s="13" t="s">
        <v>371</v>
      </c>
      <c r="B165" s="19">
        <v>1</v>
      </c>
    </row>
    <row r="166" spans="1:2" hidden="1" x14ac:dyDescent="0.25">
      <c r="A166" s="13" t="s">
        <v>371</v>
      </c>
      <c r="B166" s="19">
        <v>4</v>
      </c>
    </row>
    <row r="167" spans="1:2" hidden="1" x14ac:dyDescent="0.25">
      <c r="A167" s="13" t="s">
        <v>371</v>
      </c>
      <c r="B167" s="19">
        <v>10</v>
      </c>
    </row>
    <row r="168" spans="1:2" hidden="1" x14ac:dyDescent="0.25">
      <c r="A168" s="13" t="s">
        <v>371</v>
      </c>
      <c r="B168" s="19">
        <v>20</v>
      </c>
    </row>
    <row r="169" spans="1:2" hidden="1" x14ac:dyDescent="0.25">
      <c r="A169" s="13" t="s">
        <v>372</v>
      </c>
      <c r="B169" s="19">
        <v>1</v>
      </c>
    </row>
    <row r="170" spans="1:2" hidden="1" x14ac:dyDescent="0.25">
      <c r="A170" s="13" t="s">
        <v>372</v>
      </c>
      <c r="B170" s="19">
        <v>4</v>
      </c>
    </row>
    <row r="171" spans="1:2" hidden="1" x14ac:dyDescent="0.25">
      <c r="A171" s="13" t="s">
        <v>372</v>
      </c>
      <c r="B171" s="19">
        <v>10</v>
      </c>
    </row>
    <row r="172" spans="1:2" hidden="1" x14ac:dyDescent="0.25">
      <c r="A172" s="13" t="s">
        <v>372</v>
      </c>
      <c r="B172" s="19">
        <v>20</v>
      </c>
    </row>
    <row r="173" spans="1:2" hidden="1" x14ac:dyDescent="0.25">
      <c r="A173" s="13" t="s">
        <v>28</v>
      </c>
      <c r="B173" s="19">
        <v>1</v>
      </c>
    </row>
    <row r="174" spans="1:2" hidden="1" x14ac:dyDescent="0.25">
      <c r="A174" s="13" t="s">
        <v>28</v>
      </c>
      <c r="B174" s="19">
        <v>4</v>
      </c>
    </row>
    <row r="175" spans="1:2" hidden="1" x14ac:dyDescent="0.25">
      <c r="A175" s="13" t="s">
        <v>28</v>
      </c>
      <c r="B175" s="19">
        <v>10</v>
      </c>
    </row>
    <row r="176" spans="1:2" hidden="1" x14ac:dyDescent="0.25">
      <c r="A176" s="13" t="s">
        <v>28</v>
      </c>
      <c r="B176" s="19">
        <v>20</v>
      </c>
    </row>
    <row r="177" spans="1:2" hidden="1" x14ac:dyDescent="0.25">
      <c r="A177" s="13" t="s">
        <v>373</v>
      </c>
      <c r="B177" s="19">
        <v>1</v>
      </c>
    </row>
    <row r="178" spans="1:2" hidden="1" x14ac:dyDescent="0.25">
      <c r="A178" s="13" t="s">
        <v>373</v>
      </c>
      <c r="B178" s="19">
        <v>4</v>
      </c>
    </row>
    <row r="179" spans="1:2" hidden="1" x14ac:dyDescent="0.25">
      <c r="A179" s="13" t="s">
        <v>373</v>
      </c>
      <c r="B179" s="19">
        <v>10</v>
      </c>
    </row>
    <row r="180" spans="1:2" hidden="1" x14ac:dyDescent="0.25">
      <c r="A180" s="13" t="s">
        <v>373</v>
      </c>
      <c r="B180" s="19">
        <v>20</v>
      </c>
    </row>
    <row r="181" spans="1:2" hidden="1" x14ac:dyDescent="0.25">
      <c r="A181" s="13" t="s">
        <v>374</v>
      </c>
      <c r="B181" s="19">
        <v>1</v>
      </c>
    </row>
    <row r="182" spans="1:2" hidden="1" x14ac:dyDescent="0.25">
      <c r="A182" s="13" t="s">
        <v>374</v>
      </c>
      <c r="B182" s="19">
        <v>4</v>
      </c>
    </row>
    <row r="183" spans="1:2" hidden="1" x14ac:dyDescent="0.25">
      <c r="A183" s="13" t="s">
        <v>374</v>
      </c>
      <c r="B183" s="19">
        <v>10</v>
      </c>
    </row>
    <row r="184" spans="1:2" hidden="1" x14ac:dyDescent="0.25">
      <c r="A184" s="13" t="s">
        <v>374</v>
      </c>
      <c r="B184" s="19">
        <v>20</v>
      </c>
    </row>
    <row r="185" spans="1:2" hidden="1" x14ac:dyDescent="0.25">
      <c r="A185" s="13" t="s">
        <v>30</v>
      </c>
      <c r="B185" s="19">
        <v>1</v>
      </c>
    </row>
    <row r="186" spans="1:2" hidden="1" x14ac:dyDescent="0.25">
      <c r="A186" s="13" t="s">
        <v>30</v>
      </c>
      <c r="B186" s="19">
        <v>4</v>
      </c>
    </row>
    <row r="187" spans="1:2" hidden="1" x14ac:dyDescent="0.25">
      <c r="A187" s="13" t="s">
        <v>375</v>
      </c>
      <c r="B187" s="19">
        <v>10</v>
      </c>
    </row>
    <row r="188" spans="1:2" hidden="1" x14ac:dyDescent="0.25">
      <c r="A188" s="13" t="s">
        <v>30</v>
      </c>
      <c r="B188" s="19">
        <v>20</v>
      </c>
    </row>
    <row r="189" spans="1:2" hidden="1" x14ac:dyDescent="0.25">
      <c r="A189" s="13" t="s">
        <v>375</v>
      </c>
      <c r="B189" s="19">
        <v>1</v>
      </c>
    </row>
    <row r="190" spans="1:2" hidden="1" x14ac:dyDescent="0.25">
      <c r="A190" s="13" t="s">
        <v>375</v>
      </c>
      <c r="B190" s="19">
        <v>4</v>
      </c>
    </row>
    <row r="191" spans="1:2" hidden="1" x14ac:dyDescent="0.25">
      <c r="A191" s="13" t="s">
        <v>375</v>
      </c>
      <c r="B191" s="19">
        <v>10</v>
      </c>
    </row>
    <row r="192" spans="1:2" hidden="1" x14ac:dyDescent="0.25">
      <c r="A192" s="13" t="s">
        <v>375</v>
      </c>
      <c r="B192" s="19">
        <v>20</v>
      </c>
    </row>
    <row r="193" spans="1:2" hidden="1" x14ac:dyDescent="0.25">
      <c r="A193" s="13"/>
      <c r="B193" s="19"/>
    </row>
    <row r="194" spans="1:2" hidden="1" x14ac:dyDescent="0.25">
      <c r="A194" s="13"/>
      <c r="B194" s="19"/>
    </row>
    <row r="195" spans="1:2" hidden="1" x14ac:dyDescent="0.25">
      <c r="A195" s="13" t="s">
        <v>376</v>
      </c>
      <c r="B195" s="19">
        <v>1</v>
      </c>
    </row>
    <row r="196" spans="1:2" hidden="1" x14ac:dyDescent="0.25">
      <c r="A196" s="13" t="s">
        <v>376</v>
      </c>
      <c r="B196" s="19">
        <v>4</v>
      </c>
    </row>
    <row r="197" spans="1:2" hidden="1" x14ac:dyDescent="0.25">
      <c r="A197" s="13" t="s">
        <v>376</v>
      </c>
      <c r="B197" s="19">
        <v>10</v>
      </c>
    </row>
    <row r="198" spans="1:2" hidden="1" x14ac:dyDescent="0.25">
      <c r="A198" s="13" t="s">
        <v>376</v>
      </c>
      <c r="B198" s="19">
        <v>20</v>
      </c>
    </row>
    <row r="199" spans="1:2" hidden="1" x14ac:dyDescent="0.25">
      <c r="A199" s="13" t="s">
        <v>377</v>
      </c>
      <c r="B199" s="19">
        <v>1</v>
      </c>
    </row>
    <row r="200" spans="1:2" hidden="1" x14ac:dyDescent="0.25">
      <c r="A200" s="13" t="s">
        <v>377</v>
      </c>
      <c r="B200" s="19">
        <v>4</v>
      </c>
    </row>
    <row r="201" spans="1:2" hidden="1" x14ac:dyDescent="0.25">
      <c r="A201" s="13" t="s">
        <v>377</v>
      </c>
      <c r="B201" s="19">
        <v>10</v>
      </c>
    </row>
    <row r="202" spans="1:2" hidden="1" x14ac:dyDescent="0.25">
      <c r="A202" s="13" t="s">
        <v>377</v>
      </c>
      <c r="B202" s="19">
        <v>20</v>
      </c>
    </row>
    <row r="203" spans="1:2" hidden="1" x14ac:dyDescent="0.25">
      <c r="A203" s="13" t="s">
        <v>378</v>
      </c>
      <c r="B203" s="19">
        <v>1</v>
      </c>
    </row>
    <row r="204" spans="1:2" hidden="1" x14ac:dyDescent="0.25">
      <c r="A204" s="13" t="s">
        <v>378</v>
      </c>
      <c r="B204" s="19">
        <v>4</v>
      </c>
    </row>
    <row r="205" spans="1:2" hidden="1" x14ac:dyDescent="0.25">
      <c r="A205" s="13" t="s">
        <v>378</v>
      </c>
      <c r="B205" s="19">
        <v>10</v>
      </c>
    </row>
    <row r="206" spans="1:2" hidden="1" x14ac:dyDescent="0.25">
      <c r="A206" s="13" t="s">
        <v>378</v>
      </c>
      <c r="B206" s="19">
        <v>20</v>
      </c>
    </row>
    <row r="207" spans="1:2" hidden="1" x14ac:dyDescent="0.25">
      <c r="A207" s="13" t="s">
        <v>379</v>
      </c>
      <c r="B207" s="19">
        <v>1</v>
      </c>
    </row>
    <row r="208" spans="1:2" hidden="1" x14ac:dyDescent="0.25">
      <c r="A208" s="13" t="s">
        <v>379</v>
      </c>
      <c r="B208" s="19">
        <v>4</v>
      </c>
    </row>
    <row r="209" spans="1:2" hidden="1" x14ac:dyDescent="0.25">
      <c r="A209" s="13" t="s">
        <v>379</v>
      </c>
      <c r="B209" s="19">
        <v>10</v>
      </c>
    </row>
    <row r="210" spans="1:2" hidden="1" x14ac:dyDescent="0.25">
      <c r="A210" s="13" t="s">
        <v>379</v>
      </c>
      <c r="B210" s="19">
        <v>20</v>
      </c>
    </row>
    <row r="211" spans="1:2" hidden="1" x14ac:dyDescent="0.25">
      <c r="A211" s="13" t="s">
        <v>380</v>
      </c>
      <c r="B211" s="19">
        <v>1</v>
      </c>
    </row>
    <row r="212" spans="1:2" hidden="1" x14ac:dyDescent="0.25">
      <c r="A212" s="13" t="s">
        <v>380</v>
      </c>
      <c r="B212" s="19">
        <v>4</v>
      </c>
    </row>
    <row r="213" spans="1:2" hidden="1" x14ac:dyDescent="0.25">
      <c r="A213" s="13" t="s">
        <v>380</v>
      </c>
      <c r="B213" s="19">
        <v>10</v>
      </c>
    </row>
    <row r="214" spans="1:2" hidden="1" x14ac:dyDescent="0.25">
      <c r="A214" s="13" t="s">
        <v>380</v>
      </c>
      <c r="B214" s="19">
        <v>20</v>
      </c>
    </row>
    <row r="215" spans="1:2" hidden="1" x14ac:dyDescent="0.25">
      <c r="A215" s="13" t="s">
        <v>32</v>
      </c>
      <c r="B215" s="19">
        <v>1</v>
      </c>
    </row>
    <row r="216" spans="1:2" hidden="1" x14ac:dyDescent="0.25">
      <c r="A216" s="13" t="s">
        <v>32</v>
      </c>
      <c r="B216" s="19">
        <v>4</v>
      </c>
    </row>
    <row r="217" spans="1:2" hidden="1" x14ac:dyDescent="0.25">
      <c r="A217" s="13" t="s">
        <v>32</v>
      </c>
      <c r="B217" s="19">
        <v>10</v>
      </c>
    </row>
    <row r="218" spans="1:2" hidden="1" x14ac:dyDescent="0.25">
      <c r="A218" s="13" t="s">
        <v>32</v>
      </c>
      <c r="B218" s="19">
        <v>20</v>
      </c>
    </row>
    <row r="219" spans="1:2" hidden="1" x14ac:dyDescent="0.25">
      <c r="A219" s="13" t="s">
        <v>381</v>
      </c>
      <c r="B219" s="19">
        <v>1</v>
      </c>
    </row>
    <row r="220" spans="1:2" hidden="1" x14ac:dyDescent="0.25">
      <c r="A220" s="13" t="s">
        <v>381</v>
      </c>
      <c r="B220" s="19">
        <v>4</v>
      </c>
    </row>
    <row r="221" spans="1:2" hidden="1" x14ac:dyDescent="0.25">
      <c r="A221" s="13" t="s">
        <v>381</v>
      </c>
      <c r="B221" s="19">
        <v>10</v>
      </c>
    </row>
    <row r="222" spans="1:2" hidden="1" x14ac:dyDescent="0.25">
      <c r="A222" s="13" t="s">
        <v>381</v>
      </c>
      <c r="B222" s="19">
        <v>20</v>
      </c>
    </row>
    <row r="223" spans="1:2" hidden="1" x14ac:dyDescent="0.25">
      <c r="A223" s="13"/>
      <c r="B223" s="19"/>
    </row>
    <row r="224" spans="1:2" hidden="1" x14ac:dyDescent="0.25">
      <c r="A224" s="13" t="s">
        <v>382</v>
      </c>
      <c r="B224" s="19">
        <v>1</v>
      </c>
    </row>
    <row r="225" spans="1:2" hidden="1" x14ac:dyDescent="0.25">
      <c r="A225" s="13" t="s">
        <v>382</v>
      </c>
      <c r="B225" s="19">
        <v>4</v>
      </c>
    </row>
    <row r="226" spans="1:2" hidden="1" x14ac:dyDescent="0.25">
      <c r="A226" s="13" t="s">
        <v>382</v>
      </c>
      <c r="B226" s="19">
        <v>10</v>
      </c>
    </row>
    <row r="227" spans="1:2" hidden="1" x14ac:dyDescent="0.25">
      <c r="A227" s="13" t="s">
        <v>382</v>
      </c>
      <c r="B227" s="19">
        <v>20</v>
      </c>
    </row>
    <row r="228" spans="1:2" hidden="1" x14ac:dyDescent="0.25">
      <c r="A228" s="13" t="s">
        <v>383</v>
      </c>
      <c r="B228" s="19">
        <v>1</v>
      </c>
    </row>
    <row r="229" spans="1:2" hidden="1" x14ac:dyDescent="0.25">
      <c r="A229" s="13" t="s">
        <v>383</v>
      </c>
      <c r="B229" s="19">
        <v>4</v>
      </c>
    </row>
    <row r="230" spans="1:2" hidden="1" x14ac:dyDescent="0.25">
      <c r="A230" s="13" t="s">
        <v>383</v>
      </c>
      <c r="B230" s="19">
        <v>10</v>
      </c>
    </row>
    <row r="231" spans="1:2" hidden="1" x14ac:dyDescent="0.25">
      <c r="A231" s="13" t="s">
        <v>383</v>
      </c>
      <c r="B231" s="19">
        <v>20</v>
      </c>
    </row>
    <row r="232" spans="1:2" hidden="1" x14ac:dyDescent="0.25">
      <c r="A232" s="13" t="s">
        <v>384</v>
      </c>
      <c r="B232" s="19">
        <v>1</v>
      </c>
    </row>
    <row r="233" spans="1:2" hidden="1" x14ac:dyDescent="0.25">
      <c r="A233" s="13" t="s">
        <v>384</v>
      </c>
      <c r="B233" s="19">
        <v>4</v>
      </c>
    </row>
    <row r="234" spans="1:2" hidden="1" x14ac:dyDescent="0.25">
      <c r="A234" s="13" t="s">
        <v>384</v>
      </c>
      <c r="B234" s="19">
        <v>10</v>
      </c>
    </row>
    <row r="235" spans="1:2" hidden="1" x14ac:dyDescent="0.25">
      <c r="A235" s="13" t="s">
        <v>384</v>
      </c>
      <c r="B235" s="19">
        <v>20</v>
      </c>
    </row>
    <row r="236" spans="1:2" hidden="1" x14ac:dyDescent="0.25">
      <c r="A236" s="13" t="s">
        <v>385</v>
      </c>
      <c r="B236" s="19">
        <v>0.9</v>
      </c>
    </row>
    <row r="237" spans="1:2" hidden="1" x14ac:dyDescent="0.25">
      <c r="A237" s="13" t="s">
        <v>385</v>
      </c>
      <c r="B237" s="19">
        <v>3.6</v>
      </c>
    </row>
    <row r="238" spans="1:2" hidden="1" x14ac:dyDescent="0.25">
      <c r="A238" s="13" t="s">
        <v>385</v>
      </c>
      <c r="B238" s="19">
        <v>9</v>
      </c>
    </row>
    <row r="239" spans="1:2" hidden="1" x14ac:dyDescent="0.25">
      <c r="A239" s="13" t="s">
        <v>385</v>
      </c>
      <c r="B239" s="19">
        <v>18</v>
      </c>
    </row>
    <row r="240" spans="1:2" hidden="1" x14ac:dyDescent="0.25">
      <c r="A240" s="13" t="s">
        <v>386</v>
      </c>
      <c r="B240" s="19">
        <v>1</v>
      </c>
    </row>
    <row r="241" spans="1:2" hidden="1" x14ac:dyDescent="0.25">
      <c r="A241" s="13" t="s">
        <v>386</v>
      </c>
      <c r="B241" s="19">
        <v>4</v>
      </c>
    </row>
    <row r="242" spans="1:2" hidden="1" x14ac:dyDescent="0.25">
      <c r="A242" s="13" t="s">
        <v>386</v>
      </c>
      <c r="B242" s="19">
        <v>10</v>
      </c>
    </row>
    <row r="243" spans="1:2" hidden="1" x14ac:dyDescent="0.25">
      <c r="A243" s="13" t="s">
        <v>386</v>
      </c>
      <c r="B243" s="19">
        <v>20</v>
      </c>
    </row>
    <row r="244" spans="1:2" hidden="1" x14ac:dyDescent="0.25">
      <c r="A244" s="13" t="s">
        <v>387</v>
      </c>
      <c r="B244" s="19">
        <v>1</v>
      </c>
    </row>
    <row r="245" spans="1:2" hidden="1" x14ac:dyDescent="0.25">
      <c r="A245" s="13" t="s">
        <v>387</v>
      </c>
      <c r="B245" s="19">
        <v>4</v>
      </c>
    </row>
    <row r="246" spans="1:2" hidden="1" x14ac:dyDescent="0.25">
      <c r="A246" s="13" t="s">
        <v>387</v>
      </c>
      <c r="B246" s="19">
        <v>10</v>
      </c>
    </row>
    <row r="247" spans="1:2" hidden="1" x14ac:dyDescent="0.25">
      <c r="A247" s="13" t="s">
        <v>387</v>
      </c>
      <c r="B247" s="19">
        <v>20</v>
      </c>
    </row>
    <row r="248" spans="1:2" hidden="1" x14ac:dyDescent="0.25">
      <c r="A248" s="13"/>
      <c r="B248" s="19"/>
    </row>
    <row r="249" spans="1:2" hidden="1" x14ac:dyDescent="0.25">
      <c r="A249" s="13" t="s">
        <v>37</v>
      </c>
      <c r="B249" s="19">
        <v>1</v>
      </c>
    </row>
    <row r="250" spans="1:2" hidden="1" x14ac:dyDescent="0.25">
      <c r="A250" s="13" t="s">
        <v>38</v>
      </c>
      <c r="B250" s="19">
        <v>4</v>
      </c>
    </row>
    <row r="251" spans="1:2" hidden="1" x14ac:dyDescent="0.25">
      <c r="A251" s="13" t="s">
        <v>38</v>
      </c>
      <c r="B251" s="19">
        <v>10</v>
      </c>
    </row>
    <row r="252" spans="1:2" hidden="1" x14ac:dyDescent="0.25">
      <c r="A252" s="13" t="s">
        <v>38</v>
      </c>
      <c r="B252" s="19">
        <v>20</v>
      </c>
    </row>
    <row r="253" spans="1:2" hidden="1" x14ac:dyDescent="0.25">
      <c r="A253" s="13"/>
      <c r="B253" s="19"/>
    </row>
    <row r="254" spans="1:2" hidden="1" x14ac:dyDescent="0.25">
      <c r="A254" s="13" t="s">
        <v>388</v>
      </c>
      <c r="B254" s="19">
        <v>1</v>
      </c>
    </row>
    <row r="255" spans="1:2" hidden="1" x14ac:dyDescent="0.25">
      <c r="A255" s="13" t="s">
        <v>388</v>
      </c>
      <c r="B255" s="19">
        <v>4</v>
      </c>
    </row>
    <row r="256" spans="1:2" hidden="1" x14ac:dyDescent="0.25">
      <c r="A256" s="13" t="s">
        <v>388</v>
      </c>
      <c r="B256" s="19">
        <v>10</v>
      </c>
    </row>
    <row r="257" spans="1:2" hidden="1" x14ac:dyDescent="0.25">
      <c r="A257" s="13" t="s">
        <v>388</v>
      </c>
      <c r="B257" s="19">
        <v>20</v>
      </c>
    </row>
    <row r="258" spans="1:2" hidden="1" x14ac:dyDescent="0.25">
      <c r="A258" s="13"/>
      <c r="B258" s="19"/>
    </row>
    <row r="259" spans="1:2" hidden="1" x14ac:dyDescent="0.25">
      <c r="A259" s="13" t="s">
        <v>389</v>
      </c>
      <c r="B259" s="19">
        <v>1</v>
      </c>
    </row>
    <row r="260" spans="1:2" hidden="1" x14ac:dyDescent="0.25">
      <c r="A260" s="13" t="s">
        <v>389</v>
      </c>
      <c r="B260" s="19">
        <v>4</v>
      </c>
    </row>
    <row r="261" spans="1:2" hidden="1" x14ac:dyDescent="0.25">
      <c r="A261" s="13" t="s">
        <v>389</v>
      </c>
      <c r="B261" s="19">
        <v>10</v>
      </c>
    </row>
    <row r="262" spans="1:2" hidden="1" x14ac:dyDescent="0.25">
      <c r="A262" s="13" t="s">
        <v>389</v>
      </c>
      <c r="B262" s="19">
        <v>20</v>
      </c>
    </row>
    <row r="263" spans="1:2" hidden="1" x14ac:dyDescent="0.25">
      <c r="A263" s="13"/>
      <c r="B263" s="19"/>
    </row>
    <row r="264" spans="1:2" hidden="1" x14ac:dyDescent="0.25">
      <c r="A264" s="13" t="s">
        <v>390</v>
      </c>
      <c r="B264" s="19">
        <v>1</v>
      </c>
    </row>
    <row r="265" spans="1:2" hidden="1" x14ac:dyDescent="0.25">
      <c r="A265" s="13" t="s">
        <v>390</v>
      </c>
      <c r="B265" s="19">
        <v>4</v>
      </c>
    </row>
    <row r="266" spans="1:2" hidden="1" x14ac:dyDescent="0.25">
      <c r="A266" s="13" t="s">
        <v>390</v>
      </c>
      <c r="B266" s="19">
        <v>10</v>
      </c>
    </row>
    <row r="267" spans="1:2" hidden="1" x14ac:dyDescent="0.25">
      <c r="A267" s="13" t="s">
        <v>390</v>
      </c>
      <c r="B267" s="19">
        <v>20</v>
      </c>
    </row>
    <row r="268" spans="1:2" hidden="1" x14ac:dyDescent="0.25">
      <c r="A268" s="13"/>
      <c r="B268" s="19"/>
    </row>
    <row r="269" spans="1:2" hidden="1" x14ac:dyDescent="0.25">
      <c r="A269" s="13" t="s">
        <v>40</v>
      </c>
      <c r="B269" s="19">
        <v>1</v>
      </c>
    </row>
    <row r="270" spans="1:2" hidden="1" x14ac:dyDescent="0.25">
      <c r="A270" s="13" t="s">
        <v>40</v>
      </c>
      <c r="B270" s="19">
        <v>4</v>
      </c>
    </row>
    <row r="271" spans="1:2" hidden="1" x14ac:dyDescent="0.25">
      <c r="A271" s="13" t="s">
        <v>40</v>
      </c>
      <c r="B271" s="19">
        <v>10</v>
      </c>
    </row>
    <row r="272" spans="1:2" hidden="1" x14ac:dyDescent="0.25">
      <c r="A272" s="13" t="s">
        <v>40</v>
      </c>
      <c r="B272" s="19">
        <v>20</v>
      </c>
    </row>
    <row r="273" spans="1:2" hidden="1" x14ac:dyDescent="0.25">
      <c r="A273" s="13"/>
      <c r="B273" s="19"/>
    </row>
    <row r="274" spans="1:2" hidden="1" x14ac:dyDescent="0.25">
      <c r="A274" s="13" t="s">
        <v>41</v>
      </c>
      <c r="B274" s="19">
        <v>1</v>
      </c>
    </row>
    <row r="275" spans="1:2" hidden="1" x14ac:dyDescent="0.25">
      <c r="A275" s="13" t="s">
        <v>41</v>
      </c>
      <c r="B275" s="19">
        <v>4</v>
      </c>
    </row>
    <row r="276" spans="1:2" hidden="1" x14ac:dyDescent="0.25">
      <c r="A276" s="13" t="s">
        <v>41</v>
      </c>
      <c r="B276" s="19">
        <v>10</v>
      </c>
    </row>
    <row r="277" spans="1:2" hidden="1" x14ac:dyDescent="0.25">
      <c r="A277" s="13" t="s">
        <v>41</v>
      </c>
      <c r="B277" s="19">
        <v>20</v>
      </c>
    </row>
    <row r="278" spans="1:2" hidden="1" x14ac:dyDescent="0.25">
      <c r="A278" s="13" t="s">
        <v>42</v>
      </c>
      <c r="B278" s="19">
        <v>1</v>
      </c>
    </row>
    <row r="279" spans="1:2" hidden="1" x14ac:dyDescent="0.25">
      <c r="A279" s="13" t="s">
        <v>42</v>
      </c>
      <c r="B279" s="19">
        <v>4</v>
      </c>
    </row>
    <row r="280" spans="1:2" hidden="1" x14ac:dyDescent="0.25">
      <c r="A280" s="13" t="s">
        <v>42</v>
      </c>
      <c r="B280" s="19">
        <v>10</v>
      </c>
    </row>
    <row r="281" spans="1:2" hidden="1" x14ac:dyDescent="0.25">
      <c r="A281" s="13" t="s">
        <v>42</v>
      </c>
      <c r="B281" s="19">
        <v>20</v>
      </c>
    </row>
    <row r="282" spans="1:2" hidden="1" x14ac:dyDescent="0.25">
      <c r="A282" s="13" t="s">
        <v>43</v>
      </c>
      <c r="B282" s="19">
        <v>1</v>
      </c>
    </row>
    <row r="283" spans="1:2" hidden="1" x14ac:dyDescent="0.25">
      <c r="A283" s="13" t="s">
        <v>43</v>
      </c>
      <c r="B283" s="19">
        <v>4</v>
      </c>
    </row>
    <row r="284" spans="1:2" hidden="1" x14ac:dyDescent="0.25">
      <c r="A284" s="13" t="s">
        <v>43</v>
      </c>
      <c r="B284" s="19">
        <v>10</v>
      </c>
    </row>
    <row r="285" spans="1:2" hidden="1" x14ac:dyDescent="0.25">
      <c r="A285" s="13" t="s">
        <v>43</v>
      </c>
      <c r="B285" s="19">
        <v>20</v>
      </c>
    </row>
    <row r="286" spans="1:2" hidden="1" x14ac:dyDescent="0.25">
      <c r="A286" s="13"/>
      <c r="B286" s="19"/>
    </row>
    <row r="287" spans="1:2" hidden="1" x14ac:dyDescent="0.25">
      <c r="A287" s="13" t="s">
        <v>44</v>
      </c>
      <c r="B287" s="19">
        <v>1</v>
      </c>
    </row>
    <row r="288" spans="1:2" hidden="1" x14ac:dyDescent="0.25">
      <c r="A288" s="13" t="s">
        <v>44</v>
      </c>
      <c r="B288" s="19">
        <v>4</v>
      </c>
    </row>
    <row r="289" spans="1:3" hidden="1" x14ac:dyDescent="0.25">
      <c r="A289" s="13" t="s">
        <v>44</v>
      </c>
      <c r="B289" s="19">
        <v>10</v>
      </c>
    </row>
    <row r="290" spans="1:3" hidden="1" x14ac:dyDescent="0.25">
      <c r="A290" s="13" t="s">
        <v>44</v>
      </c>
      <c r="B290" s="19">
        <v>20</v>
      </c>
    </row>
    <row r="291" spans="1:3" hidden="1" x14ac:dyDescent="0.25">
      <c r="A291" s="13" t="s">
        <v>45</v>
      </c>
      <c r="B291" s="19">
        <v>1</v>
      </c>
    </row>
    <row r="292" spans="1:3" hidden="1" x14ac:dyDescent="0.25">
      <c r="A292" s="13" t="s">
        <v>45</v>
      </c>
      <c r="B292" s="19">
        <v>4</v>
      </c>
    </row>
    <row r="293" spans="1:3" hidden="1" x14ac:dyDescent="0.25">
      <c r="A293" s="13" t="s">
        <v>45</v>
      </c>
      <c r="B293" s="19">
        <v>10</v>
      </c>
    </row>
    <row r="294" spans="1:3" hidden="1" x14ac:dyDescent="0.25">
      <c r="A294" s="13" t="s">
        <v>45</v>
      </c>
      <c r="B294" s="19">
        <v>20</v>
      </c>
    </row>
    <row r="295" spans="1:3" hidden="1" x14ac:dyDescent="0.25">
      <c r="A295" s="13" t="s">
        <v>46</v>
      </c>
      <c r="B295" s="19">
        <v>1</v>
      </c>
    </row>
    <row r="296" spans="1:3" hidden="1" x14ac:dyDescent="0.25">
      <c r="A296" s="13" t="s">
        <v>46</v>
      </c>
      <c r="B296" s="19">
        <v>4</v>
      </c>
    </row>
    <row r="297" spans="1:3" hidden="1" x14ac:dyDescent="0.25">
      <c r="A297" s="13" t="s">
        <v>46</v>
      </c>
      <c r="B297" s="19">
        <v>10</v>
      </c>
    </row>
    <row r="298" spans="1:3" hidden="1" x14ac:dyDescent="0.25">
      <c r="A298" s="13" t="s">
        <v>46</v>
      </c>
      <c r="B298" s="19">
        <v>20</v>
      </c>
    </row>
    <row r="299" spans="1:3" hidden="1" x14ac:dyDescent="0.25">
      <c r="A299" s="13"/>
      <c r="B299" s="19"/>
    </row>
    <row r="300" spans="1:3" x14ac:dyDescent="0.25">
      <c r="A300" s="13" t="s">
        <v>391</v>
      </c>
      <c r="B300" s="19">
        <v>1</v>
      </c>
      <c r="C300">
        <v>30</v>
      </c>
    </row>
    <row r="301" spans="1:3" hidden="1" x14ac:dyDescent="0.25">
      <c r="A301" s="13" t="s">
        <v>391</v>
      </c>
      <c r="B301" s="19">
        <v>5</v>
      </c>
    </row>
    <row r="302" spans="1:3" x14ac:dyDescent="0.25">
      <c r="A302" s="13" t="s">
        <v>391</v>
      </c>
      <c r="B302" s="19">
        <v>10</v>
      </c>
      <c r="C302">
        <v>24</v>
      </c>
    </row>
    <row r="303" spans="1:3" hidden="1" x14ac:dyDescent="0.25">
      <c r="A303" s="13" t="s">
        <v>391</v>
      </c>
      <c r="B303" s="19">
        <v>20</v>
      </c>
    </row>
    <row r="304" spans="1:3" hidden="1" x14ac:dyDescent="0.25">
      <c r="A304" s="13" t="s">
        <v>392</v>
      </c>
      <c r="B304" s="19">
        <v>1</v>
      </c>
    </row>
    <row r="305" spans="1:3" hidden="1" x14ac:dyDescent="0.25">
      <c r="A305" s="13" t="s">
        <v>392</v>
      </c>
      <c r="B305" s="19">
        <v>5</v>
      </c>
    </row>
    <row r="306" spans="1:3" hidden="1" x14ac:dyDescent="0.25">
      <c r="A306" s="13" t="s">
        <v>392</v>
      </c>
      <c r="B306" s="19">
        <v>10</v>
      </c>
    </row>
    <row r="307" spans="1:3" hidden="1" x14ac:dyDescent="0.25">
      <c r="A307" s="13" t="s">
        <v>392</v>
      </c>
      <c r="B307" s="19">
        <v>20</v>
      </c>
    </row>
    <row r="308" spans="1:3" hidden="1" x14ac:dyDescent="0.25">
      <c r="A308" s="13"/>
      <c r="B308" s="19"/>
    </row>
    <row r="309" spans="1:3" hidden="1" x14ac:dyDescent="0.25">
      <c r="A309" s="13" t="s">
        <v>48</v>
      </c>
      <c r="B309" s="19">
        <v>1</v>
      </c>
    </row>
    <row r="310" spans="1:3" hidden="1" x14ac:dyDescent="0.25">
      <c r="A310" s="13" t="s">
        <v>48</v>
      </c>
      <c r="B310" s="19">
        <v>5</v>
      </c>
    </row>
    <row r="311" spans="1:3" hidden="1" x14ac:dyDescent="0.25">
      <c r="A311" s="13" t="s">
        <v>48</v>
      </c>
      <c r="B311" s="19">
        <v>10</v>
      </c>
    </row>
    <row r="312" spans="1:3" hidden="1" x14ac:dyDescent="0.25">
      <c r="A312" s="13" t="s">
        <v>48</v>
      </c>
      <c r="B312" s="19">
        <v>20</v>
      </c>
    </row>
    <row r="313" spans="1:3" hidden="1" x14ac:dyDescent="0.25">
      <c r="A313" s="13"/>
      <c r="B313" s="19"/>
    </row>
    <row r="314" spans="1:3" x14ac:dyDescent="0.25">
      <c r="A314" s="13" t="s">
        <v>50</v>
      </c>
      <c r="B314" s="19">
        <v>1</v>
      </c>
      <c r="C314">
        <v>30</v>
      </c>
    </row>
    <row r="315" spans="1:3" hidden="1" x14ac:dyDescent="0.25">
      <c r="A315" s="13" t="s">
        <v>50</v>
      </c>
      <c r="B315" s="19">
        <v>5</v>
      </c>
    </row>
    <row r="316" spans="1:3" x14ac:dyDescent="0.25">
      <c r="A316" s="13" t="s">
        <v>50</v>
      </c>
      <c r="B316" s="19">
        <v>10</v>
      </c>
      <c r="C316">
        <v>20</v>
      </c>
    </row>
    <row r="317" spans="1:3" hidden="1" x14ac:dyDescent="0.25">
      <c r="A317" s="13" t="s">
        <v>50</v>
      </c>
      <c r="B317" s="19">
        <v>20</v>
      </c>
    </row>
    <row r="318" spans="1:3" hidden="1" x14ac:dyDescent="0.25">
      <c r="A318" s="13"/>
    </row>
    <row r="319" spans="1:3" hidden="1" x14ac:dyDescent="0.25">
      <c r="A319" s="13" t="s">
        <v>51</v>
      </c>
      <c r="B319" s="19">
        <v>1</v>
      </c>
    </row>
    <row r="320" spans="1:3" hidden="1" x14ac:dyDescent="0.25">
      <c r="A320" s="13" t="s">
        <v>51</v>
      </c>
      <c r="B320" s="19">
        <v>4</v>
      </c>
    </row>
    <row r="321" spans="1:3" x14ac:dyDescent="0.25">
      <c r="A321" s="13" t="s">
        <v>51</v>
      </c>
      <c r="B321" s="19">
        <v>10</v>
      </c>
      <c r="C321">
        <v>25</v>
      </c>
    </row>
    <row r="322" spans="1:3" hidden="1" x14ac:dyDescent="0.25">
      <c r="A322" s="13" t="s">
        <v>51</v>
      </c>
      <c r="B322" s="19">
        <v>20</v>
      </c>
    </row>
    <row r="323" spans="1:3" hidden="1" x14ac:dyDescent="0.25">
      <c r="A323" s="13"/>
    </row>
    <row r="324" spans="1:3" hidden="1" x14ac:dyDescent="0.25">
      <c r="A324" s="13" t="s">
        <v>52</v>
      </c>
      <c r="B324" s="19">
        <v>1</v>
      </c>
    </row>
    <row r="325" spans="1:3" hidden="1" x14ac:dyDescent="0.25">
      <c r="A325" s="13" t="s">
        <v>52</v>
      </c>
      <c r="B325" s="19">
        <v>4</v>
      </c>
    </row>
    <row r="326" spans="1:3" hidden="1" x14ac:dyDescent="0.25">
      <c r="A326" s="13" t="s">
        <v>52</v>
      </c>
      <c r="B326" s="19">
        <v>10</v>
      </c>
    </row>
    <row r="327" spans="1:3" hidden="1" x14ac:dyDescent="0.25">
      <c r="A327" s="13" t="s">
        <v>52</v>
      </c>
      <c r="B327" s="19">
        <v>20</v>
      </c>
    </row>
    <row r="328" spans="1:3" hidden="1" x14ac:dyDescent="0.25">
      <c r="A328" s="13"/>
    </row>
    <row r="329" spans="1:3" hidden="1" x14ac:dyDescent="0.25">
      <c r="A329" s="13" t="s">
        <v>53</v>
      </c>
      <c r="B329" s="46">
        <v>1</v>
      </c>
    </row>
    <row r="330" spans="1:3" hidden="1" x14ac:dyDescent="0.25">
      <c r="A330" s="13" t="s">
        <v>53</v>
      </c>
      <c r="B330" s="46">
        <v>4</v>
      </c>
    </row>
    <row r="331" spans="1:3" hidden="1" x14ac:dyDescent="0.25">
      <c r="A331" s="13" t="s">
        <v>53</v>
      </c>
      <c r="B331" s="46">
        <v>10</v>
      </c>
    </row>
    <row r="332" spans="1:3" hidden="1" x14ac:dyDescent="0.25">
      <c r="A332" s="13" t="s">
        <v>53</v>
      </c>
      <c r="B332" s="46">
        <v>20</v>
      </c>
    </row>
    <row r="333" spans="1:3" hidden="1" x14ac:dyDescent="0.25">
      <c r="A333" s="13"/>
    </row>
    <row r="334" spans="1:3" hidden="1" x14ac:dyDescent="0.25">
      <c r="A334" s="13" t="s">
        <v>54</v>
      </c>
      <c r="B334" s="19">
        <v>0.5</v>
      </c>
    </row>
    <row r="335" spans="1:3" hidden="1" x14ac:dyDescent="0.25">
      <c r="A335" s="13" t="s">
        <v>55</v>
      </c>
      <c r="B335" s="19">
        <v>1</v>
      </c>
    </row>
    <row r="336" spans="1:3" hidden="1" x14ac:dyDescent="0.25">
      <c r="A336" s="13" t="s">
        <v>55</v>
      </c>
      <c r="B336" s="19">
        <v>4</v>
      </c>
    </row>
    <row r="337" spans="1:3" hidden="1" x14ac:dyDescent="0.25">
      <c r="A337" s="13" t="s">
        <v>55</v>
      </c>
      <c r="B337" s="19">
        <v>20</v>
      </c>
    </row>
    <row r="338" spans="1:3" hidden="1" x14ac:dyDescent="0.25">
      <c r="A338" s="16"/>
    </row>
    <row r="339" spans="1:3" hidden="1" x14ac:dyDescent="0.25">
      <c r="A339" s="13" t="s">
        <v>56</v>
      </c>
      <c r="B339" s="19">
        <v>0.5</v>
      </c>
    </row>
    <row r="340" spans="1:3" x14ac:dyDescent="0.25">
      <c r="A340" s="13" t="s">
        <v>56</v>
      </c>
      <c r="B340" s="19">
        <v>1</v>
      </c>
      <c r="C340">
        <v>30</v>
      </c>
    </row>
    <row r="341" spans="1:3" hidden="1" x14ac:dyDescent="0.25">
      <c r="A341" s="13" t="s">
        <v>56</v>
      </c>
      <c r="B341" s="19">
        <v>4</v>
      </c>
    </row>
    <row r="342" spans="1:3" hidden="1" x14ac:dyDescent="0.25">
      <c r="A342" s="13" t="s">
        <v>56</v>
      </c>
      <c r="B342" s="19">
        <v>20</v>
      </c>
    </row>
    <row r="343" spans="1:3" hidden="1" x14ac:dyDescent="0.25">
      <c r="A343" s="13"/>
    </row>
    <row r="344" spans="1:3" hidden="1" x14ac:dyDescent="0.25">
      <c r="A344" s="13" t="s">
        <v>57</v>
      </c>
      <c r="B344" s="19">
        <v>0.5</v>
      </c>
    </row>
    <row r="345" spans="1:3" hidden="1" x14ac:dyDescent="0.25">
      <c r="A345" s="13" t="s">
        <v>57</v>
      </c>
      <c r="B345" s="19">
        <v>1</v>
      </c>
    </row>
    <row r="346" spans="1:3" hidden="1" x14ac:dyDescent="0.25">
      <c r="A346" s="13" t="s">
        <v>57</v>
      </c>
      <c r="B346" s="19">
        <v>4</v>
      </c>
    </row>
    <row r="347" spans="1:3" hidden="1" x14ac:dyDescent="0.25">
      <c r="A347" s="13" t="s">
        <v>57</v>
      </c>
      <c r="B347" s="19">
        <v>20</v>
      </c>
    </row>
    <row r="348" spans="1:3" hidden="1" x14ac:dyDescent="0.25">
      <c r="A348" s="13"/>
    </row>
    <row r="349" spans="1:3" hidden="1" x14ac:dyDescent="0.25">
      <c r="A349" s="16" t="s">
        <v>58</v>
      </c>
      <c r="B349" s="46">
        <v>0.1</v>
      </c>
    </row>
    <row r="350" spans="1:3" hidden="1" x14ac:dyDescent="0.25">
      <c r="A350" s="16" t="s">
        <v>58</v>
      </c>
      <c r="B350" s="46">
        <v>0.2</v>
      </c>
    </row>
    <row r="351" spans="1:3" hidden="1" x14ac:dyDescent="0.25">
      <c r="A351" s="16" t="s">
        <v>58</v>
      </c>
      <c r="B351" s="46">
        <v>0.5</v>
      </c>
    </row>
    <row r="352" spans="1:3" hidden="1" x14ac:dyDescent="0.25">
      <c r="A352" s="16" t="s">
        <v>58</v>
      </c>
      <c r="B352" s="46">
        <v>1</v>
      </c>
    </row>
    <row r="353" spans="1:3" hidden="1" x14ac:dyDescent="0.25">
      <c r="A353" s="16"/>
    </row>
    <row r="354" spans="1:3" hidden="1" x14ac:dyDescent="0.25">
      <c r="A354" s="17" t="s">
        <v>59</v>
      </c>
      <c r="B354" s="18">
        <v>0.1</v>
      </c>
    </row>
    <row r="355" spans="1:3" hidden="1" x14ac:dyDescent="0.25">
      <c r="A355" s="17" t="s">
        <v>59</v>
      </c>
      <c r="B355" s="19">
        <v>0.5</v>
      </c>
    </row>
    <row r="356" spans="1:3" hidden="1" x14ac:dyDescent="0.25">
      <c r="A356" s="17" t="s">
        <v>59</v>
      </c>
      <c r="B356" s="19">
        <v>1</v>
      </c>
    </row>
    <row r="357" spans="1:3" hidden="1" x14ac:dyDescent="0.25">
      <c r="A357" s="17" t="s">
        <v>59</v>
      </c>
      <c r="B357" s="19">
        <v>4</v>
      </c>
    </row>
    <row r="358" spans="1:3" hidden="1" x14ac:dyDescent="0.25">
      <c r="A358" s="17" t="s">
        <v>59</v>
      </c>
      <c r="B358" s="19">
        <v>20</v>
      </c>
    </row>
    <row r="359" spans="1:3" hidden="1" x14ac:dyDescent="0.25">
      <c r="A359" s="67"/>
    </row>
    <row r="360" spans="1:3" hidden="1" x14ac:dyDescent="0.25">
      <c r="A360" s="13" t="s">
        <v>60</v>
      </c>
      <c r="B360" s="19">
        <v>0.5</v>
      </c>
    </row>
    <row r="361" spans="1:3" hidden="1" x14ac:dyDescent="0.25">
      <c r="A361" s="13" t="s">
        <v>60</v>
      </c>
      <c r="B361" s="19">
        <v>1</v>
      </c>
    </row>
    <row r="362" spans="1:3" x14ac:dyDescent="0.25">
      <c r="A362" s="13" t="s">
        <v>60</v>
      </c>
      <c r="B362" s="19">
        <v>4</v>
      </c>
      <c r="C362">
        <v>20</v>
      </c>
    </row>
    <row r="363" spans="1:3" hidden="1" x14ac:dyDescent="0.25">
      <c r="A363" s="13" t="s">
        <v>60</v>
      </c>
      <c r="B363" s="19">
        <v>20</v>
      </c>
    </row>
    <row r="364" spans="1:3" hidden="1" x14ac:dyDescent="0.25">
      <c r="A364" s="13"/>
      <c r="B364" s="1"/>
    </row>
    <row r="365" spans="1:3" hidden="1" x14ac:dyDescent="0.25">
      <c r="A365" s="13" t="s">
        <v>395</v>
      </c>
      <c r="B365" s="19">
        <v>0.5</v>
      </c>
    </row>
    <row r="366" spans="1:3" x14ac:dyDescent="0.25">
      <c r="A366" s="13" t="s">
        <v>395</v>
      </c>
      <c r="B366" s="19">
        <v>1</v>
      </c>
      <c r="C366">
        <v>12</v>
      </c>
    </row>
    <row r="367" spans="1:3" hidden="1" x14ac:dyDescent="0.25">
      <c r="A367" s="13" t="s">
        <v>395</v>
      </c>
      <c r="B367" s="19">
        <v>4</v>
      </c>
    </row>
    <row r="368" spans="1:3" hidden="1" x14ac:dyDescent="0.25">
      <c r="A368" s="13" t="s">
        <v>395</v>
      </c>
      <c r="B368" s="19">
        <v>20</v>
      </c>
    </row>
    <row r="369" spans="1:3" hidden="1" x14ac:dyDescent="0.25">
      <c r="A369" s="13"/>
      <c r="B369" s="19"/>
    </row>
    <row r="370" spans="1:3" hidden="1" x14ac:dyDescent="0.25">
      <c r="A370" s="13" t="s">
        <v>396</v>
      </c>
      <c r="B370" s="19">
        <v>0.5</v>
      </c>
    </row>
    <row r="371" spans="1:3" hidden="1" x14ac:dyDescent="0.25">
      <c r="A371" s="13" t="s">
        <v>396</v>
      </c>
      <c r="B371" s="19">
        <v>1</v>
      </c>
    </row>
    <row r="372" spans="1:3" hidden="1" x14ac:dyDescent="0.25">
      <c r="A372" s="13" t="s">
        <v>396</v>
      </c>
      <c r="B372" s="19">
        <v>4</v>
      </c>
    </row>
    <row r="373" spans="1:3" hidden="1" x14ac:dyDescent="0.25">
      <c r="A373" s="13"/>
      <c r="B373" s="19"/>
    </row>
    <row r="374" spans="1:3" hidden="1" x14ac:dyDescent="0.25">
      <c r="A374" s="13" t="s">
        <v>397</v>
      </c>
      <c r="B374" s="19">
        <v>0.5</v>
      </c>
    </row>
    <row r="375" spans="1:3" x14ac:dyDescent="0.25">
      <c r="A375" s="13" t="s">
        <v>397</v>
      </c>
      <c r="B375" s="19">
        <v>1</v>
      </c>
      <c r="C375">
        <v>30</v>
      </c>
    </row>
    <row r="376" spans="1:3" hidden="1" x14ac:dyDescent="0.25">
      <c r="A376" s="13" t="s">
        <v>397</v>
      </c>
      <c r="B376" s="19">
        <v>4</v>
      </c>
    </row>
    <row r="377" spans="1:3" hidden="1" x14ac:dyDescent="0.25">
      <c r="A377" s="13"/>
      <c r="B377" s="19"/>
    </row>
    <row r="378" spans="1:3" hidden="1" x14ac:dyDescent="0.25">
      <c r="A378" s="13" t="s">
        <v>398</v>
      </c>
      <c r="B378" s="19">
        <v>0.5</v>
      </c>
    </row>
    <row r="379" spans="1:3" x14ac:dyDescent="0.25">
      <c r="A379" s="13" t="s">
        <v>398</v>
      </c>
      <c r="B379" s="19">
        <v>1</v>
      </c>
      <c r="C379">
        <v>12</v>
      </c>
    </row>
    <row r="380" spans="1:3" hidden="1" x14ac:dyDescent="0.25">
      <c r="A380" s="13" t="s">
        <v>398</v>
      </c>
      <c r="B380" s="19">
        <v>4</v>
      </c>
    </row>
    <row r="381" spans="1:3" hidden="1" x14ac:dyDescent="0.25">
      <c r="A381" s="13"/>
      <c r="B381" s="19"/>
    </row>
    <row r="382" spans="1:3" hidden="1" x14ac:dyDescent="0.25">
      <c r="A382" s="13" t="s">
        <v>399</v>
      </c>
      <c r="B382" s="19">
        <v>0.5</v>
      </c>
    </row>
    <row r="383" spans="1:3" hidden="1" x14ac:dyDescent="0.25">
      <c r="A383" s="13" t="s">
        <v>399</v>
      </c>
      <c r="B383" s="19">
        <v>1</v>
      </c>
    </row>
    <row r="384" spans="1:3" hidden="1" x14ac:dyDescent="0.25">
      <c r="A384" s="13" t="s">
        <v>399</v>
      </c>
      <c r="B384" s="19">
        <v>4</v>
      </c>
    </row>
    <row r="385" spans="1:2" hidden="1" x14ac:dyDescent="0.25">
      <c r="A385" s="13"/>
      <c r="B385" s="19"/>
    </row>
    <row r="386" spans="1:2" hidden="1" x14ac:dyDescent="0.25">
      <c r="A386" s="13" t="s">
        <v>1784</v>
      </c>
      <c r="B386" s="19">
        <v>0.5</v>
      </c>
    </row>
    <row r="387" spans="1:2" hidden="1" x14ac:dyDescent="0.25">
      <c r="A387" s="13" t="s">
        <v>1784</v>
      </c>
      <c r="B387" s="19">
        <v>1</v>
      </c>
    </row>
    <row r="388" spans="1:2" hidden="1" x14ac:dyDescent="0.25">
      <c r="A388" s="13" t="s">
        <v>1784</v>
      </c>
      <c r="B388" s="19">
        <v>4</v>
      </c>
    </row>
    <row r="389" spans="1:2" hidden="1" x14ac:dyDescent="0.25">
      <c r="A389" s="13"/>
      <c r="B389" s="19"/>
    </row>
    <row r="390" spans="1:2" hidden="1" x14ac:dyDescent="0.25">
      <c r="A390" s="13" t="s">
        <v>401</v>
      </c>
      <c r="B390" s="19">
        <v>0.5</v>
      </c>
    </row>
    <row r="391" spans="1:2" hidden="1" x14ac:dyDescent="0.25">
      <c r="A391" s="13" t="s">
        <v>401</v>
      </c>
      <c r="B391" s="19">
        <v>1</v>
      </c>
    </row>
    <row r="392" spans="1:2" hidden="1" x14ac:dyDescent="0.25">
      <c r="A392" s="13" t="s">
        <v>401</v>
      </c>
      <c r="B392" s="19">
        <v>4</v>
      </c>
    </row>
    <row r="393" spans="1:2" hidden="1" x14ac:dyDescent="0.25">
      <c r="A393" s="13"/>
      <c r="B393" s="19"/>
    </row>
    <row r="394" spans="1:2" hidden="1" x14ac:dyDescent="0.25">
      <c r="A394" s="13" t="s">
        <v>402</v>
      </c>
      <c r="B394" s="19">
        <v>0.5</v>
      </c>
    </row>
    <row r="395" spans="1:2" hidden="1" x14ac:dyDescent="0.25">
      <c r="A395" s="13" t="s">
        <v>402</v>
      </c>
      <c r="B395" s="19">
        <v>1</v>
      </c>
    </row>
    <row r="396" spans="1:2" hidden="1" x14ac:dyDescent="0.25">
      <c r="A396" s="13" t="s">
        <v>402</v>
      </c>
      <c r="B396" s="19">
        <v>4</v>
      </c>
    </row>
    <row r="397" spans="1:2" hidden="1" x14ac:dyDescent="0.25">
      <c r="A397" s="13" t="s">
        <v>402</v>
      </c>
      <c r="B397" s="19">
        <v>20</v>
      </c>
    </row>
    <row r="398" spans="1:2" hidden="1" x14ac:dyDescent="0.25">
      <c r="A398" s="13"/>
      <c r="B398" s="19"/>
    </row>
    <row r="399" spans="1:2" hidden="1" x14ac:dyDescent="0.25">
      <c r="A399" s="13" t="s">
        <v>403</v>
      </c>
      <c r="B399" s="19">
        <v>0.5</v>
      </c>
    </row>
    <row r="400" spans="1:2" hidden="1" x14ac:dyDescent="0.25">
      <c r="A400" s="13" t="s">
        <v>403</v>
      </c>
      <c r="B400" s="19">
        <v>1</v>
      </c>
    </row>
    <row r="401" spans="1:2" hidden="1" x14ac:dyDescent="0.25">
      <c r="A401" s="13" t="s">
        <v>403</v>
      </c>
      <c r="B401" s="19">
        <v>4</v>
      </c>
    </row>
    <row r="402" spans="1:2" hidden="1" x14ac:dyDescent="0.25">
      <c r="A402" s="13"/>
      <c r="B402" s="19"/>
    </row>
    <row r="403" spans="1:2" hidden="1" x14ac:dyDescent="0.25">
      <c r="A403" s="13" t="s">
        <v>404</v>
      </c>
      <c r="B403" s="19">
        <v>0.5</v>
      </c>
    </row>
    <row r="404" spans="1:2" hidden="1" x14ac:dyDescent="0.25">
      <c r="A404" s="13" t="s">
        <v>404</v>
      </c>
      <c r="B404" s="19">
        <v>1</v>
      </c>
    </row>
    <row r="405" spans="1:2" hidden="1" x14ac:dyDescent="0.25">
      <c r="A405" s="13" t="s">
        <v>404</v>
      </c>
      <c r="B405" s="19">
        <v>4</v>
      </c>
    </row>
    <row r="406" spans="1:2" hidden="1" x14ac:dyDescent="0.25">
      <c r="A406" s="13"/>
      <c r="B406" s="19"/>
    </row>
    <row r="407" spans="1:2" hidden="1" x14ac:dyDescent="0.25">
      <c r="A407" s="13" t="s">
        <v>405</v>
      </c>
      <c r="B407" s="19">
        <v>0.5</v>
      </c>
    </row>
    <row r="408" spans="1:2" hidden="1" x14ac:dyDescent="0.25">
      <c r="A408" s="13" t="s">
        <v>405</v>
      </c>
      <c r="B408" s="19">
        <v>1</v>
      </c>
    </row>
    <row r="409" spans="1:2" hidden="1" x14ac:dyDescent="0.25">
      <c r="A409" s="13" t="s">
        <v>405</v>
      </c>
      <c r="B409" s="19">
        <v>4</v>
      </c>
    </row>
    <row r="410" spans="1:2" hidden="1" x14ac:dyDescent="0.25">
      <c r="A410" s="13"/>
      <c r="B410" s="19"/>
    </row>
    <row r="411" spans="1:2" hidden="1" x14ac:dyDescent="0.25">
      <c r="A411" s="13" t="s">
        <v>406</v>
      </c>
      <c r="B411" s="19">
        <v>0.5</v>
      </c>
    </row>
    <row r="412" spans="1:2" hidden="1" x14ac:dyDescent="0.25">
      <c r="A412" s="13" t="s">
        <v>406</v>
      </c>
      <c r="B412" s="19">
        <v>1</v>
      </c>
    </row>
    <row r="413" spans="1:2" hidden="1" x14ac:dyDescent="0.25">
      <c r="A413" s="13" t="s">
        <v>406</v>
      </c>
      <c r="B413" s="19">
        <v>4</v>
      </c>
    </row>
    <row r="414" spans="1:2" hidden="1" x14ac:dyDescent="0.25">
      <c r="A414" s="13"/>
      <c r="B414" s="19"/>
    </row>
    <row r="415" spans="1:2" hidden="1" x14ac:dyDescent="0.25">
      <c r="A415" s="13" t="s">
        <v>407</v>
      </c>
      <c r="B415" s="19">
        <v>0.5</v>
      </c>
    </row>
    <row r="416" spans="1:2" hidden="1" x14ac:dyDescent="0.25">
      <c r="A416" s="13" t="s">
        <v>407</v>
      </c>
      <c r="B416" s="19">
        <v>1</v>
      </c>
    </row>
    <row r="417" spans="1:2" hidden="1" x14ac:dyDescent="0.25">
      <c r="A417" s="13" t="s">
        <v>407</v>
      </c>
      <c r="B417" s="19">
        <v>4</v>
      </c>
    </row>
    <row r="418" spans="1:2" hidden="1" x14ac:dyDescent="0.25">
      <c r="A418" s="13"/>
      <c r="B418" s="19"/>
    </row>
    <row r="419" spans="1:2" hidden="1" x14ac:dyDescent="0.25">
      <c r="A419" s="13"/>
      <c r="B419" s="19"/>
    </row>
    <row r="420" spans="1:2" hidden="1" x14ac:dyDescent="0.25">
      <c r="A420" s="13" t="s">
        <v>63</v>
      </c>
      <c r="B420" s="19">
        <v>1</v>
      </c>
    </row>
    <row r="421" spans="1:2" hidden="1" x14ac:dyDescent="0.25">
      <c r="A421" s="13" t="s">
        <v>63</v>
      </c>
      <c r="B421" s="19">
        <v>4</v>
      </c>
    </row>
    <row r="422" spans="1:2" hidden="1" x14ac:dyDescent="0.25">
      <c r="A422" s="13" t="s">
        <v>63</v>
      </c>
      <c r="B422" s="19">
        <v>20</v>
      </c>
    </row>
    <row r="423" spans="1:2" hidden="1" x14ac:dyDescent="0.25">
      <c r="A423" s="13" t="s">
        <v>65</v>
      </c>
      <c r="B423" s="19">
        <v>1</v>
      </c>
    </row>
    <row r="424" spans="1:2" hidden="1" x14ac:dyDescent="0.25">
      <c r="A424" s="13" t="s">
        <v>65</v>
      </c>
      <c r="B424" s="19">
        <v>4</v>
      </c>
    </row>
    <row r="425" spans="1:2" hidden="1" x14ac:dyDescent="0.25">
      <c r="A425" s="13" t="s">
        <v>65</v>
      </c>
      <c r="B425" s="19">
        <v>20</v>
      </c>
    </row>
    <row r="426" spans="1:2" hidden="1" x14ac:dyDescent="0.25">
      <c r="A426" s="13" t="s">
        <v>66</v>
      </c>
      <c r="B426" s="19">
        <v>1</v>
      </c>
    </row>
    <row r="427" spans="1:2" hidden="1" x14ac:dyDescent="0.25">
      <c r="A427" s="13" t="s">
        <v>66</v>
      </c>
      <c r="B427" s="19">
        <v>4</v>
      </c>
    </row>
    <row r="428" spans="1:2" hidden="1" x14ac:dyDescent="0.25">
      <c r="A428" s="13" t="s">
        <v>66</v>
      </c>
      <c r="B428" s="19">
        <v>20</v>
      </c>
    </row>
    <row r="429" spans="1:2" hidden="1" x14ac:dyDescent="0.25">
      <c r="A429" s="13" t="s">
        <v>67</v>
      </c>
      <c r="B429" s="19">
        <v>1</v>
      </c>
    </row>
    <row r="430" spans="1:2" hidden="1" x14ac:dyDescent="0.25">
      <c r="A430" s="13" t="s">
        <v>67</v>
      </c>
      <c r="B430" s="19">
        <v>4</v>
      </c>
    </row>
    <row r="431" spans="1:2" hidden="1" x14ac:dyDescent="0.25">
      <c r="A431" s="13" t="s">
        <v>67</v>
      </c>
      <c r="B431" s="19">
        <v>20</v>
      </c>
    </row>
    <row r="432" spans="1:2" hidden="1" x14ac:dyDescent="0.25">
      <c r="A432" s="13" t="s">
        <v>68</v>
      </c>
      <c r="B432" s="19">
        <v>1</v>
      </c>
    </row>
    <row r="433" spans="1:2" hidden="1" x14ac:dyDescent="0.25">
      <c r="A433" s="13" t="s">
        <v>68</v>
      </c>
      <c r="B433" s="19">
        <v>4</v>
      </c>
    </row>
    <row r="434" spans="1:2" hidden="1" x14ac:dyDescent="0.25">
      <c r="A434" s="13" t="s">
        <v>68</v>
      </c>
      <c r="B434" s="19">
        <v>20</v>
      </c>
    </row>
    <row r="435" spans="1:2" hidden="1" x14ac:dyDescent="0.25">
      <c r="A435" s="13" t="s">
        <v>69</v>
      </c>
      <c r="B435" s="19">
        <v>1</v>
      </c>
    </row>
    <row r="436" spans="1:2" hidden="1" x14ac:dyDescent="0.25">
      <c r="A436" s="13" t="s">
        <v>69</v>
      </c>
      <c r="B436" s="19">
        <v>4</v>
      </c>
    </row>
    <row r="437" spans="1:2" hidden="1" x14ac:dyDescent="0.25">
      <c r="A437" s="13" t="s">
        <v>69</v>
      </c>
      <c r="B437" s="19">
        <v>20</v>
      </c>
    </row>
    <row r="438" spans="1:2" hidden="1" x14ac:dyDescent="0.25">
      <c r="A438" s="68" t="s">
        <v>70</v>
      </c>
    </row>
    <row r="439" spans="1:2" hidden="1" x14ac:dyDescent="0.25">
      <c r="A439" s="13" t="s">
        <v>71</v>
      </c>
      <c r="B439" s="19">
        <v>0.5</v>
      </c>
    </row>
    <row r="440" spans="1:2" hidden="1" x14ac:dyDescent="0.25">
      <c r="A440" s="13" t="s">
        <v>71</v>
      </c>
      <c r="B440" s="19">
        <v>1</v>
      </c>
    </row>
    <row r="441" spans="1:2" hidden="1" x14ac:dyDescent="0.25">
      <c r="A441" s="13" t="s">
        <v>71</v>
      </c>
      <c r="B441" s="19">
        <v>4</v>
      </c>
    </row>
    <row r="442" spans="1:2" hidden="1" x14ac:dyDescent="0.25">
      <c r="A442" s="13" t="s">
        <v>72</v>
      </c>
      <c r="B442" s="19">
        <v>0.5</v>
      </c>
    </row>
    <row r="443" spans="1:2" hidden="1" x14ac:dyDescent="0.25">
      <c r="A443" s="13" t="s">
        <v>72</v>
      </c>
      <c r="B443" s="19">
        <v>1</v>
      </c>
    </row>
    <row r="444" spans="1:2" hidden="1" x14ac:dyDescent="0.25">
      <c r="A444" s="13" t="s">
        <v>72</v>
      </c>
      <c r="B444" s="19">
        <v>4</v>
      </c>
    </row>
    <row r="445" spans="1:2" hidden="1" x14ac:dyDescent="0.25">
      <c r="A445" s="36"/>
      <c r="B445" s="19"/>
    </row>
    <row r="446" spans="1:2" hidden="1" x14ac:dyDescent="0.25">
      <c r="A446" s="13" t="s">
        <v>73</v>
      </c>
      <c r="B446" s="19">
        <v>1</v>
      </c>
    </row>
    <row r="447" spans="1:2" hidden="1" x14ac:dyDescent="0.25">
      <c r="A447" s="13" t="s">
        <v>73</v>
      </c>
      <c r="B447" s="19">
        <v>4</v>
      </c>
    </row>
    <row r="448" spans="1:2" hidden="1" x14ac:dyDescent="0.25">
      <c r="A448" s="13" t="s">
        <v>74</v>
      </c>
      <c r="B448" s="19">
        <v>1</v>
      </c>
    </row>
    <row r="449" spans="1:2" hidden="1" x14ac:dyDescent="0.25">
      <c r="A449" s="13" t="s">
        <v>74</v>
      </c>
      <c r="B449" s="19">
        <v>4</v>
      </c>
    </row>
    <row r="450" spans="1:2" hidden="1" x14ac:dyDescent="0.25">
      <c r="A450" s="13" t="s">
        <v>75</v>
      </c>
      <c r="B450" s="19">
        <v>1</v>
      </c>
    </row>
    <row r="451" spans="1:2" hidden="1" x14ac:dyDescent="0.25">
      <c r="A451" s="13" t="s">
        <v>75</v>
      </c>
      <c r="B451" s="19">
        <v>4</v>
      </c>
    </row>
    <row r="452" spans="1:2" hidden="1" x14ac:dyDescent="0.25">
      <c r="A452" s="13" t="s">
        <v>76</v>
      </c>
      <c r="B452" s="19">
        <v>1</v>
      </c>
    </row>
    <row r="453" spans="1:2" hidden="1" x14ac:dyDescent="0.25">
      <c r="A453" s="13" t="s">
        <v>76</v>
      </c>
      <c r="B453" s="19">
        <v>4</v>
      </c>
    </row>
    <row r="454" spans="1:2" hidden="1" x14ac:dyDescent="0.25">
      <c r="A454" s="13" t="s">
        <v>77</v>
      </c>
      <c r="B454" s="19">
        <v>1</v>
      </c>
    </row>
    <row r="455" spans="1:2" hidden="1" x14ac:dyDescent="0.25">
      <c r="A455" s="13" t="s">
        <v>77</v>
      </c>
      <c r="B455" s="19">
        <v>4</v>
      </c>
    </row>
    <row r="456" spans="1:2" hidden="1" x14ac:dyDescent="0.25">
      <c r="A456" s="13"/>
      <c r="B456" s="19"/>
    </row>
    <row r="457" spans="1:2" hidden="1" x14ac:dyDescent="0.25">
      <c r="A457" s="13" t="s">
        <v>78</v>
      </c>
      <c r="B457" s="19">
        <v>10</v>
      </c>
    </row>
    <row r="458" spans="1:2" hidden="1" x14ac:dyDescent="0.25">
      <c r="A458" s="13" t="s">
        <v>78</v>
      </c>
      <c r="B458" s="19">
        <v>20</v>
      </c>
    </row>
    <row r="459" spans="1:2" hidden="1" x14ac:dyDescent="0.25">
      <c r="A459" s="13"/>
      <c r="B459" s="19"/>
    </row>
    <row r="460" spans="1:2" hidden="1" x14ac:dyDescent="0.25">
      <c r="A460" s="13" t="s">
        <v>79</v>
      </c>
      <c r="B460" s="8">
        <v>4</v>
      </c>
    </row>
    <row r="461" spans="1:2" hidden="1" x14ac:dyDescent="0.25">
      <c r="A461" s="13" t="s">
        <v>79</v>
      </c>
      <c r="B461" s="8">
        <v>10</v>
      </c>
    </row>
    <row r="462" spans="1:2" hidden="1" x14ac:dyDescent="0.25">
      <c r="A462" s="13" t="s">
        <v>79</v>
      </c>
      <c r="B462" s="8">
        <v>20</v>
      </c>
    </row>
    <row r="463" spans="1:2" hidden="1" x14ac:dyDescent="0.25">
      <c r="A463" s="13"/>
      <c r="B463" s="8"/>
    </row>
    <row r="464" spans="1:2" hidden="1" x14ac:dyDescent="0.25">
      <c r="A464" s="13" t="s">
        <v>80</v>
      </c>
      <c r="B464" s="8">
        <v>4</v>
      </c>
    </row>
    <row r="465" spans="1:2" hidden="1" x14ac:dyDescent="0.25">
      <c r="A465" s="13" t="s">
        <v>80</v>
      </c>
      <c r="B465" s="8">
        <v>10</v>
      </c>
    </row>
    <row r="466" spans="1:2" hidden="1" x14ac:dyDescent="0.25">
      <c r="A466" s="13" t="s">
        <v>80</v>
      </c>
      <c r="B466" s="8">
        <v>20</v>
      </c>
    </row>
    <row r="467" spans="1:2" hidden="1" x14ac:dyDescent="0.25">
      <c r="A467" s="13"/>
      <c r="B467" s="8"/>
    </row>
    <row r="468" spans="1:2" hidden="1" x14ac:dyDescent="0.25">
      <c r="A468" s="13" t="s">
        <v>81</v>
      </c>
      <c r="B468" s="8">
        <v>4</v>
      </c>
    </row>
    <row r="469" spans="1:2" hidden="1" x14ac:dyDescent="0.25">
      <c r="A469" s="13" t="s">
        <v>81</v>
      </c>
      <c r="B469" s="8">
        <v>10</v>
      </c>
    </row>
    <row r="470" spans="1:2" hidden="1" x14ac:dyDescent="0.25">
      <c r="A470" s="13" t="s">
        <v>81</v>
      </c>
      <c r="B470" s="8">
        <v>20</v>
      </c>
    </row>
    <row r="471" spans="1:2" hidden="1" x14ac:dyDescent="0.25">
      <c r="A471" s="13"/>
      <c r="B471" s="8"/>
    </row>
    <row r="472" spans="1:2" hidden="1" x14ac:dyDescent="0.25">
      <c r="A472" s="13" t="s">
        <v>83</v>
      </c>
      <c r="B472" s="8">
        <v>3</v>
      </c>
    </row>
    <row r="473" spans="1:2" hidden="1" x14ac:dyDescent="0.25">
      <c r="A473" s="13" t="s">
        <v>83</v>
      </c>
      <c r="B473" s="18">
        <v>15</v>
      </c>
    </row>
    <row r="474" spans="1:2" hidden="1" x14ac:dyDescent="0.25">
      <c r="A474" s="13"/>
      <c r="B474" s="18"/>
    </row>
    <row r="475" spans="1:2" hidden="1" x14ac:dyDescent="0.25">
      <c r="A475" s="13" t="s">
        <v>84</v>
      </c>
      <c r="B475" s="18">
        <v>10</v>
      </c>
    </row>
    <row r="476" spans="1:2" hidden="1" x14ac:dyDescent="0.25">
      <c r="A476" s="13" t="s">
        <v>85</v>
      </c>
      <c r="B476" s="18">
        <v>20</v>
      </c>
    </row>
    <row r="477" spans="1:2" hidden="1" x14ac:dyDescent="0.25">
      <c r="A477" s="13" t="s">
        <v>86</v>
      </c>
      <c r="B477" s="18"/>
    </row>
    <row r="478" spans="1:2" hidden="1" x14ac:dyDescent="0.25">
      <c r="A478" s="13" t="s">
        <v>86</v>
      </c>
    </row>
    <row r="479" spans="1:2" hidden="1" x14ac:dyDescent="0.25">
      <c r="A479" s="13" t="s">
        <v>86</v>
      </c>
    </row>
    <row r="480" spans="1:2" hidden="1" x14ac:dyDescent="0.25">
      <c r="A480" s="13" t="s">
        <v>86</v>
      </c>
    </row>
    <row r="481" spans="1:3" hidden="1" x14ac:dyDescent="0.25">
      <c r="A481" s="13"/>
    </row>
    <row r="482" spans="1:3" hidden="1" x14ac:dyDescent="0.25">
      <c r="A482" s="13" t="s">
        <v>88</v>
      </c>
      <c r="B482" s="19">
        <v>0.25</v>
      </c>
    </row>
    <row r="483" spans="1:3" hidden="1" x14ac:dyDescent="0.25">
      <c r="A483" s="13" t="s">
        <v>88</v>
      </c>
      <c r="B483" s="19">
        <v>1</v>
      </c>
    </row>
    <row r="484" spans="1:3" hidden="1" x14ac:dyDescent="0.25">
      <c r="A484" s="13" t="s">
        <v>88</v>
      </c>
      <c r="B484" s="19">
        <v>5</v>
      </c>
    </row>
    <row r="485" spans="1:3" hidden="1" x14ac:dyDescent="0.25">
      <c r="A485" s="13" t="s">
        <v>88</v>
      </c>
      <c r="B485" s="8">
        <v>10</v>
      </c>
    </row>
    <row r="486" spans="1:3" hidden="1" x14ac:dyDescent="0.25">
      <c r="A486" s="13" t="s">
        <v>88</v>
      </c>
      <c r="B486" s="8">
        <v>20</v>
      </c>
    </row>
    <row r="487" spans="1:3" hidden="1" x14ac:dyDescent="0.25">
      <c r="A487" s="13"/>
      <c r="B487" s="8"/>
    </row>
    <row r="488" spans="1:3" hidden="1" x14ac:dyDescent="0.25">
      <c r="A488" s="13" t="s">
        <v>89</v>
      </c>
      <c r="B488" s="8">
        <v>0.5</v>
      </c>
    </row>
    <row r="489" spans="1:3" hidden="1" x14ac:dyDescent="0.25">
      <c r="A489" s="13" t="s">
        <v>89</v>
      </c>
      <c r="B489" s="19">
        <v>1</v>
      </c>
    </row>
    <row r="490" spans="1:3" hidden="1" x14ac:dyDescent="0.25">
      <c r="A490" s="13" t="s">
        <v>89</v>
      </c>
      <c r="B490" s="19">
        <v>4</v>
      </c>
    </row>
    <row r="491" spans="1:3" hidden="1" x14ac:dyDescent="0.25">
      <c r="A491" s="13"/>
      <c r="B491" s="19"/>
    </row>
    <row r="492" spans="1:3" x14ac:dyDescent="0.25">
      <c r="A492" s="13" t="s">
        <v>90</v>
      </c>
      <c r="B492" s="19">
        <v>0.2</v>
      </c>
      <c r="C492">
        <v>20</v>
      </c>
    </row>
    <row r="493" spans="1:3" x14ac:dyDescent="0.25">
      <c r="A493" s="13" t="s">
        <v>90</v>
      </c>
      <c r="B493" s="19">
        <v>0.5</v>
      </c>
      <c r="C493">
        <v>24</v>
      </c>
    </row>
    <row r="494" spans="1:3" hidden="1" x14ac:dyDescent="0.25">
      <c r="A494" s="13" t="s">
        <v>90</v>
      </c>
      <c r="B494" s="19">
        <v>1</v>
      </c>
    </row>
    <row r="495" spans="1:3" hidden="1" x14ac:dyDescent="0.25">
      <c r="A495" s="13" t="s">
        <v>90</v>
      </c>
      <c r="B495" s="19">
        <v>4</v>
      </c>
    </row>
    <row r="496" spans="1:3" hidden="1" x14ac:dyDescent="0.25">
      <c r="A496" s="13"/>
      <c r="B496" s="19"/>
    </row>
    <row r="497" spans="1:3" x14ac:dyDescent="0.25">
      <c r="A497" s="13" t="s">
        <v>91</v>
      </c>
      <c r="B497" s="19">
        <v>0.2</v>
      </c>
      <c r="C497">
        <v>10</v>
      </c>
    </row>
    <row r="498" spans="1:3" x14ac:dyDescent="0.25">
      <c r="A498" s="13" t="s">
        <v>91</v>
      </c>
      <c r="B498" s="19">
        <v>0.5</v>
      </c>
      <c r="C498">
        <v>24</v>
      </c>
    </row>
    <row r="499" spans="1:3" hidden="1" x14ac:dyDescent="0.25">
      <c r="A499" s="13" t="s">
        <v>91</v>
      </c>
      <c r="B499" s="19">
        <v>1</v>
      </c>
    </row>
    <row r="500" spans="1:3" hidden="1" x14ac:dyDescent="0.25">
      <c r="A500" s="13" t="s">
        <v>91</v>
      </c>
      <c r="B500" s="19">
        <v>4</v>
      </c>
    </row>
    <row r="501" spans="1:3" hidden="1" x14ac:dyDescent="0.25">
      <c r="A501" s="13" t="s">
        <v>91</v>
      </c>
      <c r="B501" s="19">
        <v>20</v>
      </c>
    </row>
    <row r="502" spans="1:3" hidden="1" x14ac:dyDescent="0.25">
      <c r="A502" s="13" t="s">
        <v>91</v>
      </c>
      <c r="B502" s="19"/>
    </row>
    <row r="503" spans="1:3" hidden="1" x14ac:dyDescent="0.25">
      <c r="A503" s="13"/>
      <c r="B503" s="19">
        <v>1.5</v>
      </c>
    </row>
    <row r="504" spans="1:3" hidden="1" x14ac:dyDescent="0.25">
      <c r="A504" s="3" t="s">
        <v>92</v>
      </c>
      <c r="B504" s="19">
        <v>1</v>
      </c>
    </row>
    <row r="505" spans="1:3" hidden="1" x14ac:dyDescent="0.25">
      <c r="A505" s="3" t="s">
        <v>92</v>
      </c>
      <c r="B505" s="19">
        <v>1.5</v>
      </c>
    </row>
    <row r="506" spans="1:3" hidden="1" x14ac:dyDescent="0.25">
      <c r="A506" s="13" t="s">
        <v>93</v>
      </c>
      <c r="B506" s="19">
        <v>1</v>
      </c>
    </row>
    <row r="507" spans="1:3" hidden="1" x14ac:dyDescent="0.25">
      <c r="A507" s="13" t="s">
        <v>93</v>
      </c>
      <c r="B507" s="19">
        <v>1.5</v>
      </c>
    </row>
    <row r="508" spans="1:3" hidden="1" x14ac:dyDescent="0.25">
      <c r="A508" s="13" t="s">
        <v>94</v>
      </c>
      <c r="B508" s="19">
        <v>1</v>
      </c>
    </row>
    <row r="509" spans="1:3" hidden="1" x14ac:dyDescent="0.25">
      <c r="A509" s="13" t="s">
        <v>94</v>
      </c>
      <c r="B509" s="19"/>
    </row>
    <row r="510" spans="1:3" hidden="1" x14ac:dyDescent="0.25">
      <c r="A510" s="13"/>
      <c r="B510" s="19">
        <v>0.2</v>
      </c>
    </row>
    <row r="511" spans="1:3" hidden="1" x14ac:dyDescent="0.25">
      <c r="A511" s="13" t="s">
        <v>95</v>
      </c>
      <c r="B511" s="19">
        <v>1</v>
      </c>
    </row>
    <row r="512" spans="1:3" hidden="1" x14ac:dyDescent="0.25">
      <c r="A512" s="13" t="s">
        <v>95</v>
      </c>
      <c r="B512" s="19">
        <v>0.2</v>
      </c>
    </row>
    <row r="513" spans="1:2" hidden="1" x14ac:dyDescent="0.25">
      <c r="A513" s="13" t="s">
        <v>96</v>
      </c>
      <c r="B513" s="19">
        <v>1</v>
      </c>
    </row>
    <row r="514" spans="1:2" hidden="1" x14ac:dyDescent="0.25">
      <c r="A514" s="13" t="s">
        <v>96</v>
      </c>
      <c r="B514" s="19">
        <v>0.2</v>
      </c>
    </row>
    <row r="515" spans="1:2" hidden="1" x14ac:dyDescent="0.25">
      <c r="A515" s="13" t="s">
        <v>97</v>
      </c>
      <c r="B515" s="19">
        <v>1</v>
      </c>
    </row>
    <row r="516" spans="1:2" hidden="1" x14ac:dyDescent="0.25">
      <c r="A516" s="13" t="s">
        <v>97</v>
      </c>
      <c r="B516" s="19">
        <v>0.2</v>
      </c>
    </row>
    <row r="517" spans="1:2" hidden="1" x14ac:dyDescent="0.25">
      <c r="A517" s="13" t="s">
        <v>98</v>
      </c>
      <c r="B517" s="19">
        <v>1</v>
      </c>
    </row>
    <row r="518" spans="1:2" hidden="1" x14ac:dyDescent="0.25">
      <c r="A518" s="13" t="s">
        <v>98</v>
      </c>
      <c r="B518" s="14"/>
    </row>
    <row r="519" spans="1:2" hidden="1" x14ac:dyDescent="0.25">
      <c r="A519" s="13"/>
      <c r="B519" s="19">
        <v>0.2</v>
      </c>
    </row>
    <row r="520" spans="1:2" hidden="1" x14ac:dyDescent="0.25">
      <c r="A520" s="13" t="s">
        <v>99</v>
      </c>
      <c r="B520" s="19">
        <v>1</v>
      </c>
    </row>
    <row r="521" spans="1:2" hidden="1" x14ac:dyDescent="0.25">
      <c r="A521" s="13" t="s">
        <v>99</v>
      </c>
      <c r="B521" s="19">
        <v>0.2</v>
      </c>
    </row>
    <row r="522" spans="1:2" hidden="1" x14ac:dyDescent="0.25">
      <c r="A522" s="13" t="s">
        <v>100</v>
      </c>
      <c r="B522" s="19">
        <v>1</v>
      </c>
    </row>
    <row r="523" spans="1:2" hidden="1" x14ac:dyDescent="0.25">
      <c r="A523" s="13" t="s">
        <v>100</v>
      </c>
      <c r="B523" s="19"/>
    </row>
    <row r="524" spans="1:2" hidden="1" x14ac:dyDescent="0.25">
      <c r="A524" s="13"/>
      <c r="B524" s="19">
        <v>1</v>
      </c>
    </row>
    <row r="525" spans="1:2" hidden="1" x14ac:dyDescent="0.25">
      <c r="A525" s="13" t="s">
        <v>101</v>
      </c>
      <c r="B525" s="19">
        <v>0.2</v>
      </c>
    </row>
    <row r="526" spans="1:2" hidden="1" x14ac:dyDescent="0.25">
      <c r="A526" s="13" t="s">
        <v>102</v>
      </c>
      <c r="B526" s="19">
        <v>1</v>
      </c>
    </row>
    <row r="527" spans="1:2" hidden="1" x14ac:dyDescent="0.25">
      <c r="A527" s="13" t="s">
        <v>103</v>
      </c>
      <c r="B527" s="19">
        <v>0.2</v>
      </c>
    </row>
    <row r="528" spans="1:2" hidden="1" x14ac:dyDescent="0.25">
      <c r="A528" s="13" t="s">
        <v>104</v>
      </c>
      <c r="B528" s="19"/>
    </row>
    <row r="529" spans="1:2" hidden="1" x14ac:dyDescent="0.25">
      <c r="A529" s="13"/>
      <c r="B529" s="19">
        <v>1</v>
      </c>
    </row>
    <row r="530" spans="1:2" hidden="1" x14ac:dyDescent="0.25">
      <c r="A530" s="13" t="s">
        <v>105</v>
      </c>
      <c r="B530" s="19">
        <v>1</v>
      </c>
    </row>
    <row r="531" spans="1:2" hidden="1" x14ac:dyDescent="0.25">
      <c r="A531" s="13" t="s">
        <v>106</v>
      </c>
      <c r="B531" s="19">
        <v>1</v>
      </c>
    </row>
    <row r="532" spans="1:2" hidden="1" x14ac:dyDescent="0.25">
      <c r="A532" s="13" t="s">
        <v>107</v>
      </c>
      <c r="B532" s="19">
        <v>1</v>
      </c>
    </row>
    <row r="533" spans="1:2" hidden="1" x14ac:dyDescent="0.25">
      <c r="A533" s="13" t="s">
        <v>108</v>
      </c>
      <c r="B533" s="19">
        <v>1</v>
      </c>
    </row>
    <row r="534" spans="1:2" hidden="1" x14ac:dyDescent="0.25">
      <c r="A534" s="13" t="s">
        <v>109</v>
      </c>
      <c r="B534" s="19">
        <v>1</v>
      </c>
    </row>
    <row r="535" spans="1:2" hidden="1" x14ac:dyDescent="0.25">
      <c r="A535" s="13" t="s">
        <v>110</v>
      </c>
      <c r="B535" s="19">
        <v>1</v>
      </c>
    </row>
    <row r="536" spans="1:2" hidden="1" x14ac:dyDescent="0.25">
      <c r="A536" s="13" t="s">
        <v>111</v>
      </c>
      <c r="B536" s="19">
        <v>1</v>
      </c>
    </row>
    <row r="537" spans="1:2" hidden="1" x14ac:dyDescent="0.25">
      <c r="A537" s="13" t="s">
        <v>112</v>
      </c>
      <c r="B537" s="19">
        <v>1</v>
      </c>
    </row>
    <row r="538" spans="1:2" hidden="1" x14ac:dyDescent="0.25">
      <c r="A538" s="13" t="s">
        <v>113</v>
      </c>
      <c r="B538" s="19">
        <v>1</v>
      </c>
    </row>
    <row r="539" spans="1:2" hidden="1" x14ac:dyDescent="0.25">
      <c r="A539" s="13" t="s">
        <v>115</v>
      </c>
      <c r="B539" s="19">
        <v>1</v>
      </c>
    </row>
    <row r="540" spans="1:2" hidden="1" x14ac:dyDescent="0.25">
      <c r="A540" s="13" t="s">
        <v>116</v>
      </c>
      <c r="B540" s="19"/>
    </row>
    <row r="541" spans="1:2" hidden="1" x14ac:dyDescent="0.25">
      <c r="A541" s="16"/>
      <c r="B541" s="19">
        <v>1</v>
      </c>
    </row>
    <row r="542" spans="1:2" hidden="1" x14ac:dyDescent="0.25">
      <c r="A542" s="13" t="s">
        <v>117</v>
      </c>
      <c r="B542" s="19">
        <v>1</v>
      </c>
    </row>
    <row r="543" spans="1:2" hidden="1" x14ac:dyDescent="0.25">
      <c r="A543" s="13" t="s">
        <v>118</v>
      </c>
      <c r="B543" s="19">
        <v>1</v>
      </c>
    </row>
    <row r="544" spans="1:2" hidden="1" x14ac:dyDescent="0.25">
      <c r="A544" s="13" t="s">
        <v>119</v>
      </c>
      <c r="B544" s="19">
        <v>1</v>
      </c>
    </row>
    <row r="545" spans="1:2" hidden="1" x14ac:dyDescent="0.25">
      <c r="A545" s="13" t="s">
        <v>120</v>
      </c>
      <c r="B545" s="19">
        <v>1</v>
      </c>
    </row>
    <row r="546" spans="1:2" hidden="1" x14ac:dyDescent="0.25">
      <c r="A546" s="13" t="s">
        <v>121</v>
      </c>
      <c r="B546" s="19">
        <v>1</v>
      </c>
    </row>
    <row r="547" spans="1:2" hidden="1" x14ac:dyDescent="0.25">
      <c r="A547" s="13" t="s">
        <v>122</v>
      </c>
      <c r="B547" s="19">
        <v>1</v>
      </c>
    </row>
    <row r="548" spans="1:2" hidden="1" x14ac:dyDescent="0.25">
      <c r="A548" s="13" t="s">
        <v>123</v>
      </c>
      <c r="B548" s="19">
        <v>1</v>
      </c>
    </row>
    <row r="549" spans="1:2" hidden="1" x14ac:dyDescent="0.25">
      <c r="A549" s="13" t="s">
        <v>124</v>
      </c>
      <c r="B549" s="19">
        <v>1</v>
      </c>
    </row>
    <row r="550" spans="1:2" hidden="1" x14ac:dyDescent="0.25">
      <c r="A550" s="13" t="s">
        <v>125</v>
      </c>
      <c r="B550" s="19">
        <v>1</v>
      </c>
    </row>
    <row r="551" spans="1:2" hidden="1" x14ac:dyDescent="0.25">
      <c r="A551" s="13" t="s">
        <v>126</v>
      </c>
      <c r="B551" s="19">
        <v>1</v>
      </c>
    </row>
    <row r="552" spans="1:2" hidden="1" x14ac:dyDescent="0.25">
      <c r="A552" s="13" t="s">
        <v>127</v>
      </c>
      <c r="B552" s="19">
        <v>1</v>
      </c>
    </row>
    <row r="553" spans="1:2" hidden="1" x14ac:dyDescent="0.25">
      <c r="A553" s="13" t="s">
        <v>128</v>
      </c>
      <c r="B553" s="19">
        <v>1</v>
      </c>
    </row>
    <row r="554" spans="1:2" hidden="1" x14ac:dyDescent="0.25">
      <c r="A554" s="13" t="s">
        <v>129</v>
      </c>
      <c r="B554" s="19">
        <v>1</v>
      </c>
    </row>
    <row r="555" spans="1:2" hidden="1" x14ac:dyDescent="0.25">
      <c r="A555" s="13" t="s">
        <v>130</v>
      </c>
      <c r="B555" s="19">
        <v>1</v>
      </c>
    </row>
    <row r="556" spans="1:2" hidden="1" x14ac:dyDescent="0.25">
      <c r="A556" s="13" t="s">
        <v>131</v>
      </c>
      <c r="B556" s="19">
        <v>1</v>
      </c>
    </row>
    <row r="557" spans="1:2" hidden="1" x14ac:dyDescent="0.25">
      <c r="A557" s="13" t="s">
        <v>132</v>
      </c>
      <c r="B557" s="19">
        <v>1</v>
      </c>
    </row>
    <row r="558" spans="1:2" hidden="1" x14ac:dyDescent="0.25">
      <c r="A558" s="13" t="s">
        <v>133</v>
      </c>
      <c r="B558" s="19">
        <v>1</v>
      </c>
    </row>
    <row r="559" spans="1:2" hidden="1" x14ac:dyDescent="0.25">
      <c r="A559" s="13" t="s">
        <v>134</v>
      </c>
      <c r="B559" s="19">
        <v>1</v>
      </c>
    </row>
    <row r="560" spans="1:2" hidden="1" x14ac:dyDescent="0.25">
      <c r="A560" s="13" t="s">
        <v>135</v>
      </c>
      <c r="B560" s="19">
        <v>1</v>
      </c>
    </row>
    <row r="561" spans="1:2" hidden="1" x14ac:dyDescent="0.25">
      <c r="A561" s="13" t="s">
        <v>136</v>
      </c>
      <c r="B561" s="19">
        <v>1</v>
      </c>
    </row>
    <row r="562" spans="1:2" hidden="1" x14ac:dyDescent="0.25">
      <c r="A562" s="13" t="s">
        <v>137</v>
      </c>
      <c r="B562" s="19">
        <v>1</v>
      </c>
    </row>
    <row r="563" spans="1:2" hidden="1" x14ac:dyDescent="0.25">
      <c r="A563" s="13" t="s">
        <v>138</v>
      </c>
      <c r="B563" s="19">
        <v>1</v>
      </c>
    </row>
    <row r="564" spans="1:2" hidden="1" x14ac:dyDescent="0.25">
      <c r="A564" s="13" t="s">
        <v>139</v>
      </c>
      <c r="B564" s="19">
        <v>1</v>
      </c>
    </row>
    <row r="565" spans="1:2" hidden="1" x14ac:dyDescent="0.25">
      <c r="A565" s="13" t="s">
        <v>140</v>
      </c>
      <c r="B565" s="19">
        <v>1</v>
      </c>
    </row>
    <row r="566" spans="1:2" hidden="1" x14ac:dyDescent="0.25">
      <c r="A566" s="13" t="s">
        <v>141</v>
      </c>
      <c r="B566" s="19"/>
    </row>
    <row r="567" spans="1:2" hidden="1" x14ac:dyDescent="0.25">
      <c r="A567" s="16"/>
      <c r="B567" s="8">
        <v>0.25</v>
      </c>
    </row>
    <row r="568" spans="1:2" hidden="1" x14ac:dyDescent="0.25">
      <c r="A568" s="13" t="s">
        <v>142</v>
      </c>
      <c r="B568" s="8">
        <v>0.05</v>
      </c>
    </row>
    <row r="569" spans="1:2" hidden="1" x14ac:dyDescent="0.25">
      <c r="A569" s="13" t="s">
        <v>142</v>
      </c>
      <c r="B569" s="19"/>
    </row>
    <row r="570" spans="1:2" hidden="1" x14ac:dyDescent="0.25">
      <c r="A570" s="16"/>
      <c r="B570" s="19">
        <v>1</v>
      </c>
    </row>
    <row r="571" spans="1:2" hidden="1" x14ac:dyDescent="0.25">
      <c r="A571" s="13" t="s">
        <v>143</v>
      </c>
      <c r="B571" s="20">
        <v>4</v>
      </c>
    </row>
    <row r="572" spans="1:2" hidden="1" x14ac:dyDescent="0.25">
      <c r="A572" s="25" t="s">
        <v>143</v>
      </c>
      <c r="B572" s="19">
        <v>10</v>
      </c>
    </row>
    <row r="573" spans="1:2" hidden="1" x14ac:dyDescent="0.25">
      <c r="A573" s="13" t="s">
        <v>143</v>
      </c>
      <c r="B573" s="19">
        <v>20</v>
      </c>
    </row>
    <row r="574" spans="1:2" hidden="1" x14ac:dyDescent="0.25">
      <c r="A574" s="25" t="s">
        <v>143</v>
      </c>
      <c r="B574" s="20"/>
    </row>
    <row r="575" spans="1:2" hidden="1" x14ac:dyDescent="0.25">
      <c r="A575" s="13"/>
      <c r="B575" s="19"/>
    </row>
    <row r="576" spans="1:2" hidden="1" x14ac:dyDescent="0.25">
      <c r="A576" s="13" t="s">
        <v>144</v>
      </c>
      <c r="B576" s="19">
        <v>1</v>
      </c>
    </row>
    <row r="577" spans="1:2" hidden="1" x14ac:dyDescent="0.25">
      <c r="A577" s="13" t="s">
        <v>145</v>
      </c>
      <c r="B577" s="19">
        <v>1</v>
      </c>
    </row>
    <row r="578" spans="1:2" hidden="1" x14ac:dyDescent="0.25">
      <c r="A578" s="13" t="s">
        <v>146</v>
      </c>
      <c r="B578" s="19">
        <v>1</v>
      </c>
    </row>
    <row r="579" spans="1:2" hidden="1" x14ac:dyDescent="0.25">
      <c r="A579" s="13" t="s">
        <v>147</v>
      </c>
      <c r="B579" s="19">
        <v>1</v>
      </c>
    </row>
    <row r="580" spans="1:2" hidden="1" x14ac:dyDescent="0.25">
      <c r="A580" s="13" t="s">
        <v>148</v>
      </c>
      <c r="B580" s="19">
        <v>1</v>
      </c>
    </row>
    <row r="581" spans="1:2" hidden="1" x14ac:dyDescent="0.25">
      <c r="A581" s="13" t="s">
        <v>149</v>
      </c>
      <c r="B581" s="19">
        <v>1</v>
      </c>
    </row>
    <row r="582" spans="1:2" hidden="1" x14ac:dyDescent="0.25">
      <c r="A582" s="13" t="s">
        <v>150</v>
      </c>
      <c r="B582" s="19">
        <v>1</v>
      </c>
    </row>
    <row r="583" spans="1:2" hidden="1" x14ac:dyDescent="0.25">
      <c r="A583" s="13" t="s">
        <v>151</v>
      </c>
      <c r="B583" s="19">
        <v>1</v>
      </c>
    </row>
    <row r="584" spans="1:2" hidden="1" x14ac:dyDescent="0.25">
      <c r="A584" s="13" t="s">
        <v>152</v>
      </c>
      <c r="B584" s="19">
        <v>1</v>
      </c>
    </row>
    <row r="585" spans="1:2" hidden="1" x14ac:dyDescent="0.25">
      <c r="A585" s="13" t="s">
        <v>153</v>
      </c>
      <c r="B585" s="19">
        <v>1</v>
      </c>
    </row>
    <row r="586" spans="1:2" hidden="1" x14ac:dyDescent="0.25">
      <c r="A586" s="13" t="s">
        <v>154</v>
      </c>
      <c r="B586" s="19">
        <v>1</v>
      </c>
    </row>
    <row r="587" spans="1:2" hidden="1" x14ac:dyDescent="0.25">
      <c r="A587" s="13" t="s">
        <v>155</v>
      </c>
      <c r="B587" s="19">
        <v>1</v>
      </c>
    </row>
    <row r="588" spans="1:2" hidden="1" x14ac:dyDescent="0.25">
      <c r="A588" s="13" t="s">
        <v>156</v>
      </c>
      <c r="B588" s="19">
        <v>1</v>
      </c>
    </row>
    <row r="589" spans="1:2" hidden="1" x14ac:dyDescent="0.25">
      <c r="A589" s="13" t="s">
        <v>157</v>
      </c>
      <c r="B589" s="19">
        <v>1</v>
      </c>
    </row>
    <row r="590" spans="1:2" hidden="1" x14ac:dyDescent="0.25">
      <c r="A590" s="13" t="s">
        <v>158</v>
      </c>
      <c r="B590" s="19"/>
    </row>
    <row r="591" spans="1:2" hidden="1" x14ac:dyDescent="0.25">
      <c r="A591" s="69"/>
      <c r="B591" s="70">
        <v>1</v>
      </c>
    </row>
    <row r="592" spans="1:2" hidden="1" x14ac:dyDescent="0.25">
      <c r="A592" s="1" t="s">
        <v>159</v>
      </c>
      <c r="B592" s="26">
        <v>4</v>
      </c>
    </row>
    <row r="593" spans="1:2" hidden="1" x14ac:dyDescent="0.25">
      <c r="A593" s="1" t="s">
        <v>159</v>
      </c>
      <c r="B593" s="26">
        <v>10</v>
      </c>
    </row>
    <row r="594" spans="1:2" hidden="1" x14ac:dyDescent="0.25">
      <c r="A594" s="1" t="s">
        <v>159</v>
      </c>
      <c r="B594" s="26">
        <v>20</v>
      </c>
    </row>
    <row r="595" spans="1:2" hidden="1" x14ac:dyDescent="0.25">
      <c r="A595" s="1" t="s">
        <v>159</v>
      </c>
      <c r="B595" s="26"/>
    </row>
    <row r="596" spans="1:2" x14ac:dyDescent="0.25">
      <c r="A596" s="1"/>
      <c r="B596" s="26"/>
    </row>
    <row r="597" spans="1:2" hidden="1" x14ac:dyDescent="0.25">
      <c r="A597" s="1" t="s">
        <v>160</v>
      </c>
      <c r="B597" s="26">
        <v>4</v>
      </c>
    </row>
    <row r="598" spans="1:2" hidden="1" x14ac:dyDescent="0.25">
      <c r="A598" s="1" t="s">
        <v>160</v>
      </c>
      <c r="B598" s="26">
        <v>10</v>
      </c>
    </row>
    <row r="599" spans="1:2" hidden="1" x14ac:dyDescent="0.25">
      <c r="A599" s="1" t="s">
        <v>160</v>
      </c>
      <c r="B599" s="26">
        <v>20</v>
      </c>
    </row>
    <row r="600" spans="1:2" hidden="1" x14ac:dyDescent="0.25">
      <c r="A600" s="1" t="s">
        <v>160</v>
      </c>
      <c r="B600" s="26"/>
    </row>
    <row r="601" spans="1:2" hidden="1" x14ac:dyDescent="0.25">
      <c r="A601" s="1"/>
      <c r="B601" s="26">
        <v>1</v>
      </c>
    </row>
    <row r="602" spans="1:2" hidden="1" x14ac:dyDescent="0.25">
      <c r="A602" s="1" t="s">
        <v>161</v>
      </c>
      <c r="B602" s="26">
        <v>4</v>
      </c>
    </row>
    <row r="603" spans="1:2" hidden="1" x14ac:dyDescent="0.25">
      <c r="A603" s="1" t="s">
        <v>161</v>
      </c>
      <c r="B603" s="26">
        <v>10</v>
      </c>
    </row>
    <row r="604" spans="1:2" hidden="1" x14ac:dyDescent="0.25">
      <c r="A604" s="1" t="s">
        <v>161</v>
      </c>
      <c r="B604" s="26">
        <v>20</v>
      </c>
    </row>
    <row r="605" spans="1:2" hidden="1" x14ac:dyDescent="0.25">
      <c r="A605" s="71" t="s">
        <v>161</v>
      </c>
    </row>
    <row r="606" spans="1:2" hidden="1" x14ac:dyDescent="0.25">
      <c r="A606" s="1"/>
      <c r="B606" s="1"/>
    </row>
    <row r="607" spans="1:2" hidden="1" x14ac:dyDescent="0.25">
      <c r="A607" s="13" t="s">
        <v>412</v>
      </c>
      <c r="B607" s="19">
        <v>1</v>
      </c>
    </row>
    <row r="608" spans="1:2" hidden="1" x14ac:dyDescent="0.25">
      <c r="A608" s="13" t="s">
        <v>412</v>
      </c>
      <c r="B608" s="19">
        <v>4</v>
      </c>
    </row>
    <row r="609" spans="1:2" hidden="1" x14ac:dyDescent="0.25">
      <c r="A609" s="13" t="s">
        <v>412</v>
      </c>
      <c r="B609" s="19">
        <v>10</v>
      </c>
    </row>
    <row r="610" spans="1:2" hidden="1" x14ac:dyDescent="0.25">
      <c r="A610" s="13" t="s">
        <v>412</v>
      </c>
      <c r="B610" s="19">
        <v>20</v>
      </c>
    </row>
    <row r="611" spans="1:2" hidden="1" x14ac:dyDescent="0.25">
      <c r="A611" s="13" t="s">
        <v>413</v>
      </c>
      <c r="B611" s="19">
        <v>1</v>
      </c>
    </row>
    <row r="612" spans="1:2" hidden="1" x14ac:dyDescent="0.25">
      <c r="A612" s="13" t="s">
        <v>413</v>
      </c>
      <c r="B612" s="19">
        <v>4</v>
      </c>
    </row>
    <row r="613" spans="1:2" hidden="1" x14ac:dyDescent="0.25">
      <c r="A613" s="13" t="s">
        <v>413</v>
      </c>
      <c r="B613" s="19">
        <v>10</v>
      </c>
    </row>
    <row r="614" spans="1:2" hidden="1" x14ac:dyDescent="0.25">
      <c r="A614" s="13" t="s">
        <v>413</v>
      </c>
      <c r="B614" s="19">
        <v>20</v>
      </c>
    </row>
    <row r="615" spans="1:2" hidden="1" x14ac:dyDescent="0.25">
      <c r="A615" s="13" t="s">
        <v>413</v>
      </c>
      <c r="B615" s="19">
        <v>1</v>
      </c>
    </row>
    <row r="616" spans="1:2" hidden="1" x14ac:dyDescent="0.25">
      <c r="A616" s="13" t="s">
        <v>414</v>
      </c>
      <c r="B616" s="19">
        <v>4</v>
      </c>
    </row>
    <row r="617" spans="1:2" hidden="1" x14ac:dyDescent="0.25">
      <c r="A617" s="13" t="s">
        <v>414</v>
      </c>
      <c r="B617" s="19">
        <v>10</v>
      </c>
    </row>
    <row r="618" spans="1:2" hidden="1" x14ac:dyDescent="0.25">
      <c r="A618" s="13" t="s">
        <v>414</v>
      </c>
      <c r="B618" s="19">
        <v>20</v>
      </c>
    </row>
    <row r="619" spans="1:2" hidden="1" x14ac:dyDescent="0.25">
      <c r="A619" s="13" t="s">
        <v>415</v>
      </c>
      <c r="B619" s="19">
        <v>1</v>
      </c>
    </row>
    <row r="620" spans="1:2" hidden="1" x14ac:dyDescent="0.25">
      <c r="A620" s="13" t="s">
        <v>415</v>
      </c>
      <c r="B620" s="19">
        <v>4</v>
      </c>
    </row>
    <row r="621" spans="1:2" hidden="1" x14ac:dyDescent="0.25">
      <c r="A621" s="13" t="s">
        <v>415</v>
      </c>
      <c r="B621" s="19">
        <v>10</v>
      </c>
    </row>
    <row r="622" spans="1:2" hidden="1" x14ac:dyDescent="0.25">
      <c r="A622" s="13" t="s">
        <v>415</v>
      </c>
      <c r="B622" s="19">
        <v>20</v>
      </c>
    </row>
  </sheetData>
  <autoFilter ref="C1:C622" xr:uid="{00000000-0009-0000-0000-000079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horizontalDpi="0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S84"/>
  <sheetViews>
    <sheetView workbookViewId="0">
      <selection activeCell="G272" sqref="G272"/>
    </sheetView>
  </sheetViews>
  <sheetFormatPr defaultRowHeight="15" x14ac:dyDescent="0.25"/>
  <cols>
    <col min="1" max="1" width="34.85546875" bestFit="1" customWidth="1"/>
    <col min="2" max="2" width="11" bestFit="1" customWidth="1"/>
    <col min="3" max="3" width="35" bestFit="1" customWidth="1"/>
    <col min="4" max="4" width="19" bestFit="1" customWidth="1"/>
    <col min="5" max="15" width="0" hidden="1" customWidth="1"/>
  </cols>
  <sheetData>
    <row r="1" spans="1:16" ht="75" x14ac:dyDescent="0.25">
      <c r="A1" s="55" t="s">
        <v>1785</v>
      </c>
      <c r="B1" s="56" t="s">
        <v>1786</v>
      </c>
      <c r="C1" s="56" t="s">
        <v>1787</v>
      </c>
      <c r="D1" s="56" t="s">
        <v>1788</v>
      </c>
      <c r="E1" s="55" t="s">
        <v>1789</v>
      </c>
      <c r="F1" s="55" t="s">
        <v>1790</v>
      </c>
      <c r="G1" s="55" t="s">
        <v>1791</v>
      </c>
      <c r="H1" s="55" t="s">
        <v>1792</v>
      </c>
      <c r="I1" s="55" t="s">
        <v>1793</v>
      </c>
      <c r="J1" s="57" t="s">
        <v>1794</v>
      </c>
      <c r="K1" s="55" t="s">
        <v>1795</v>
      </c>
      <c r="L1" s="57" t="s">
        <v>1796</v>
      </c>
      <c r="M1" s="57" t="s">
        <v>1797</v>
      </c>
      <c r="N1" s="57" t="s">
        <v>1798</v>
      </c>
      <c r="O1" s="57" t="s">
        <v>1799</v>
      </c>
      <c r="P1" s="49" t="s">
        <v>1800</v>
      </c>
    </row>
    <row r="2" spans="1:16" x14ac:dyDescent="0.25">
      <c r="A2" s="124" t="s">
        <v>1801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</row>
    <row r="3" spans="1:16" x14ac:dyDescent="0.25">
      <c r="A3" s="58" t="s">
        <v>1802</v>
      </c>
      <c r="B3" s="51" t="s">
        <v>1803</v>
      </c>
      <c r="C3" s="51" t="s">
        <v>1804</v>
      </c>
      <c r="D3" s="51"/>
      <c r="E3" s="1">
        <v>7920</v>
      </c>
      <c r="F3" s="1">
        <v>0.05</v>
      </c>
      <c r="G3" s="1">
        <v>0.13</v>
      </c>
      <c r="H3" s="52">
        <f t="shared" ref="H3:H8" si="0">E3*F3</f>
        <v>396</v>
      </c>
      <c r="I3" s="52">
        <f t="shared" ref="I3:I8" si="1">(E3+H3)*G3</f>
        <v>1081.08</v>
      </c>
      <c r="J3" s="52">
        <f t="shared" ref="J3:J8" si="2">E3+H3+I3</f>
        <v>9397.08</v>
      </c>
      <c r="K3" s="53">
        <v>0.2</v>
      </c>
      <c r="L3" s="52">
        <f>J3*K3</f>
        <v>1879.4160000000002</v>
      </c>
      <c r="M3" s="52">
        <f>J3+L3</f>
        <v>11276.495999999999</v>
      </c>
      <c r="N3" s="53">
        <v>0.2</v>
      </c>
      <c r="O3" s="52">
        <f>$M3/(1-N3)</f>
        <v>14095.619999999999</v>
      </c>
      <c r="P3" s="1">
        <f t="shared" ref="P3:P8" si="3">MROUND(O3,10)</f>
        <v>14100</v>
      </c>
    </row>
    <row r="4" spans="1:16" x14ac:dyDescent="0.25">
      <c r="A4" s="58" t="s">
        <v>1805</v>
      </c>
      <c r="B4" s="51" t="s">
        <v>1806</v>
      </c>
      <c r="C4" s="51" t="s">
        <v>1804</v>
      </c>
      <c r="D4" s="51"/>
      <c r="E4" s="1">
        <v>12110</v>
      </c>
      <c r="F4" s="1">
        <v>0.05</v>
      </c>
      <c r="G4" s="1">
        <v>0.13</v>
      </c>
      <c r="H4" s="52">
        <f t="shared" si="0"/>
        <v>605.5</v>
      </c>
      <c r="I4" s="52">
        <f t="shared" si="1"/>
        <v>1653.0150000000001</v>
      </c>
      <c r="J4" s="52">
        <f t="shared" si="2"/>
        <v>14368.514999999999</v>
      </c>
      <c r="K4" s="53">
        <v>0.2</v>
      </c>
      <c r="L4" s="52">
        <f t="shared" ref="L4:L68" si="4">J4*K4</f>
        <v>2873.703</v>
      </c>
      <c r="M4" s="52">
        <f t="shared" ref="M4:M68" si="5">J4+L4</f>
        <v>17242.218000000001</v>
      </c>
      <c r="N4" s="53">
        <v>0.2</v>
      </c>
      <c r="O4" s="52">
        <f t="shared" ref="O4:O68" si="6">$M4/(1-N4)</f>
        <v>21552.772499999999</v>
      </c>
      <c r="P4" s="1">
        <f t="shared" si="3"/>
        <v>21550</v>
      </c>
    </row>
    <row r="5" spans="1:16" x14ac:dyDescent="0.25">
      <c r="A5" s="58" t="s">
        <v>1807</v>
      </c>
      <c r="B5" s="51" t="s">
        <v>1808</v>
      </c>
      <c r="C5" s="51" t="s">
        <v>1809</v>
      </c>
      <c r="D5" s="51"/>
      <c r="E5" s="1">
        <v>1430</v>
      </c>
      <c r="F5" s="1">
        <v>0.05</v>
      </c>
      <c r="G5" s="1">
        <v>0.13</v>
      </c>
      <c r="H5" s="52">
        <f t="shared" si="0"/>
        <v>71.5</v>
      </c>
      <c r="I5" s="52">
        <f t="shared" si="1"/>
        <v>195.19499999999999</v>
      </c>
      <c r="J5" s="52">
        <f t="shared" si="2"/>
        <v>1696.6949999999999</v>
      </c>
      <c r="K5" s="53">
        <v>0.2</v>
      </c>
      <c r="L5" s="52">
        <f t="shared" si="4"/>
        <v>339.339</v>
      </c>
      <c r="M5" s="52">
        <f t="shared" si="5"/>
        <v>2036.0339999999999</v>
      </c>
      <c r="N5" s="53">
        <v>0.2</v>
      </c>
      <c r="O5" s="52">
        <f t="shared" si="6"/>
        <v>2545.0424999999996</v>
      </c>
      <c r="P5" s="1">
        <f t="shared" si="3"/>
        <v>2550</v>
      </c>
    </row>
    <row r="6" spans="1:16" x14ac:dyDescent="0.25">
      <c r="A6" s="58" t="s">
        <v>1810</v>
      </c>
      <c r="B6" s="51" t="s">
        <v>1811</v>
      </c>
      <c r="C6" s="51" t="s">
        <v>1809</v>
      </c>
      <c r="D6" s="51"/>
      <c r="E6" s="1">
        <v>1210</v>
      </c>
      <c r="F6" s="1">
        <v>0.05</v>
      </c>
      <c r="G6" s="1">
        <v>0.13</v>
      </c>
      <c r="H6" s="52">
        <f t="shared" si="0"/>
        <v>60.5</v>
      </c>
      <c r="I6" s="52">
        <f t="shared" si="1"/>
        <v>165.16499999999999</v>
      </c>
      <c r="J6" s="52">
        <f t="shared" si="2"/>
        <v>1435.665</v>
      </c>
      <c r="K6" s="53">
        <v>0.2</v>
      </c>
      <c r="L6" s="52">
        <f t="shared" si="4"/>
        <v>287.13299999999998</v>
      </c>
      <c r="M6" s="52">
        <f t="shared" si="5"/>
        <v>1722.798</v>
      </c>
      <c r="N6" s="53">
        <v>0.2</v>
      </c>
      <c r="O6" s="52">
        <f t="shared" si="6"/>
        <v>2153.4974999999999</v>
      </c>
      <c r="P6" s="1">
        <f t="shared" si="3"/>
        <v>2150</v>
      </c>
    </row>
    <row r="7" spans="1:16" x14ac:dyDescent="0.25">
      <c r="A7" s="58" t="s">
        <v>1812</v>
      </c>
      <c r="B7" s="51" t="s">
        <v>1813</v>
      </c>
      <c r="C7" s="51" t="s">
        <v>1809</v>
      </c>
      <c r="D7" s="51"/>
      <c r="E7" s="1">
        <v>1170</v>
      </c>
      <c r="F7" s="1">
        <v>0.05</v>
      </c>
      <c r="G7" s="1">
        <v>0.13</v>
      </c>
      <c r="H7" s="52">
        <f t="shared" si="0"/>
        <v>58.5</v>
      </c>
      <c r="I7" s="52">
        <f t="shared" si="1"/>
        <v>159.70500000000001</v>
      </c>
      <c r="J7" s="52">
        <f t="shared" si="2"/>
        <v>1388.2049999999999</v>
      </c>
      <c r="K7" s="53">
        <v>0.2</v>
      </c>
      <c r="L7" s="52">
        <f t="shared" si="4"/>
        <v>277.64100000000002</v>
      </c>
      <c r="M7" s="52">
        <f t="shared" si="5"/>
        <v>1665.846</v>
      </c>
      <c r="N7" s="53">
        <v>0.2</v>
      </c>
      <c r="O7" s="52">
        <f t="shared" si="6"/>
        <v>2082.3074999999999</v>
      </c>
      <c r="P7" s="1">
        <f t="shared" si="3"/>
        <v>2080</v>
      </c>
    </row>
    <row r="8" spans="1:16" x14ac:dyDescent="0.25">
      <c r="A8" s="58" t="s">
        <v>1814</v>
      </c>
      <c r="B8" s="51" t="s">
        <v>1815</v>
      </c>
      <c r="C8" s="51" t="s">
        <v>1809</v>
      </c>
      <c r="D8" s="1"/>
      <c r="E8" s="52">
        <v>2240</v>
      </c>
      <c r="F8" s="1">
        <v>0.05</v>
      </c>
      <c r="G8" s="1">
        <v>0.13</v>
      </c>
      <c r="H8" s="52">
        <f t="shared" si="0"/>
        <v>112</v>
      </c>
      <c r="I8" s="52">
        <f t="shared" si="1"/>
        <v>305.76</v>
      </c>
      <c r="J8" s="52">
        <f t="shared" si="2"/>
        <v>2657.76</v>
      </c>
      <c r="K8" s="59">
        <v>0.15</v>
      </c>
      <c r="L8" s="52">
        <v>398.66400000000004</v>
      </c>
      <c r="M8" s="52">
        <v>3056.4240000000004</v>
      </c>
      <c r="N8" s="59">
        <v>0.2</v>
      </c>
      <c r="O8" s="52">
        <v>3820.53</v>
      </c>
      <c r="P8" s="1">
        <f t="shared" si="3"/>
        <v>3820</v>
      </c>
    </row>
    <row r="9" spans="1:16" x14ac:dyDescent="0.25">
      <c r="A9" s="121" t="s">
        <v>1816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</row>
    <row r="10" spans="1:16" x14ac:dyDescent="0.25">
      <c r="A10" s="58" t="s">
        <v>1817</v>
      </c>
      <c r="B10" s="51" t="s">
        <v>1818</v>
      </c>
      <c r="C10" s="51" t="s">
        <v>1819</v>
      </c>
      <c r="D10" s="51" t="s">
        <v>1820</v>
      </c>
      <c r="E10" s="1">
        <v>18550</v>
      </c>
      <c r="F10" s="1">
        <v>0</v>
      </c>
      <c r="G10" s="1">
        <v>0.13</v>
      </c>
      <c r="H10" s="52">
        <v>0</v>
      </c>
      <c r="I10" s="52">
        <v>2411.5</v>
      </c>
      <c r="J10" s="52">
        <v>20961.5</v>
      </c>
      <c r="K10" s="53">
        <v>0.2</v>
      </c>
      <c r="L10" s="52">
        <f t="shared" si="4"/>
        <v>4192.3</v>
      </c>
      <c r="M10" s="52">
        <f t="shared" si="5"/>
        <v>25153.8</v>
      </c>
      <c r="N10" s="53">
        <v>0.2</v>
      </c>
      <c r="O10" s="52">
        <f t="shared" si="6"/>
        <v>31442.249999999996</v>
      </c>
      <c r="P10" s="1">
        <f t="shared" ref="P10:P20" si="7">MROUND(O10,10)</f>
        <v>31440</v>
      </c>
    </row>
    <row r="11" spans="1:16" x14ac:dyDescent="0.25">
      <c r="A11" s="58" t="s">
        <v>1821</v>
      </c>
      <c r="B11" s="51" t="s">
        <v>1822</v>
      </c>
      <c r="C11" s="51" t="s">
        <v>1819</v>
      </c>
      <c r="D11" s="51" t="s">
        <v>1823</v>
      </c>
      <c r="E11" s="1">
        <v>12840</v>
      </c>
      <c r="F11" s="1">
        <v>0</v>
      </c>
      <c r="G11" s="1">
        <v>0.13</v>
      </c>
      <c r="H11" s="52">
        <v>0</v>
      </c>
      <c r="I11" s="52">
        <v>1669.2</v>
      </c>
      <c r="J11" s="52">
        <v>14509.2</v>
      </c>
      <c r="K11" s="53">
        <v>0.2</v>
      </c>
      <c r="L11" s="52">
        <f t="shared" si="4"/>
        <v>2901.84</v>
      </c>
      <c r="M11" s="52">
        <f t="shared" si="5"/>
        <v>17411.04</v>
      </c>
      <c r="N11" s="53">
        <v>0.2</v>
      </c>
      <c r="O11" s="52">
        <f t="shared" si="6"/>
        <v>21763.8</v>
      </c>
      <c r="P11" s="1">
        <f t="shared" si="7"/>
        <v>21760</v>
      </c>
    </row>
    <row r="12" spans="1:16" x14ac:dyDescent="0.25">
      <c r="A12" s="58" t="s">
        <v>1824</v>
      </c>
      <c r="B12" s="51" t="s">
        <v>1825</v>
      </c>
      <c r="C12" s="51" t="s">
        <v>1819</v>
      </c>
      <c r="D12" s="51" t="s">
        <v>1826</v>
      </c>
      <c r="E12" s="1">
        <v>19140</v>
      </c>
      <c r="F12" s="1">
        <v>0</v>
      </c>
      <c r="G12" s="1">
        <v>0.13</v>
      </c>
      <c r="H12" s="52">
        <v>0</v>
      </c>
      <c r="I12" s="52">
        <v>2488.2000000000003</v>
      </c>
      <c r="J12" s="52">
        <v>21628.2</v>
      </c>
      <c r="K12" s="53">
        <v>0.2</v>
      </c>
      <c r="L12" s="52">
        <f t="shared" si="4"/>
        <v>4325.6400000000003</v>
      </c>
      <c r="M12" s="52">
        <f t="shared" si="5"/>
        <v>25953.84</v>
      </c>
      <c r="N12" s="53">
        <v>0.2</v>
      </c>
      <c r="O12" s="52">
        <f t="shared" si="6"/>
        <v>32442.3</v>
      </c>
      <c r="P12" s="1">
        <f t="shared" si="7"/>
        <v>32440</v>
      </c>
    </row>
    <row r="13" spans="1:16" x14ac:dyDescent="0.25">
      <c r="A13" s="58" t="s">
        <v>1827</v>
      </c>
      <c r="B13" s="51" t="s">
        <v>1828</v>
      </c>
      <c r="C13" s="51" t="s">
        <v>1819</v>
      </c>
      <c r="D13" s="51" t="s">
        <v>1829</v>
      </c>
      <c r="E13" s="1">
        <v>19330</v>
      </c>
      <c r="F13" s="1">
        <v>0</v>
      </c>
      <c r="G13" s="1">
        <v>0.13</v>
      </c>
      <c r="H13" s="52">
        <v>0</v>
      </c>
      <c r="I13" s="52">
        <v>2512.9</v>
      </c>
      <c r="J13" s="52">
        <v>21842.9</v>
      </c>
      <c r="K13" s="53">
        <v>0.2</v>
      </c>
      <c r="L13" s="52">
        <f t="shared" si="4"/>
        <v>4368.5800000000008</v>
      </c>
      <c r="M13" s="52">
        <f t="shared" si="5"/>
        <v>26211.480000000003</v>
      </c>
      <c r="N13" s="53">
        <v>0.2</v>
      </c>
      <c r="O13" s="52">
        <f t="shared" si="6"/>
        <v>32764.350000000002</v>
      </c>
      <c r="P13" s="1">
        <f t="shared" si="7"/>
        <v>32760</v>
      </c>
    </row>
    <row r="14" spans="1:16" x14ac:dyDescent="0.25">
      <c r="A14" s="58" t="s">
        <v>1830</v>
      </c>
      <c r="B14" s="51" t="s">
        <v>1831</v>
      </c>
      <c r="C14" s="51" t="s">
        <v>1819</v>
      </c>
      <c r="D14" s="51" t="s">
        <v>1832</v>
      </c>
      <c r="E14" s="1">
        <v>13640</v>
      </c>
      <c r="F14" s="1">
        <v>0</v>
      </c>
      <c r="G14" s="1">
        <v>0.13</v>
      </c>
      <c r="H14" s="52">
        <v>0</v>
      </c>
      <c r="I14" s="52">
        <v>1773.2</v>
      </c>
      <c r="J14" s="52">
        <v>15413.2</v>
      </c>
      <c r="K14" s="53">
        <v>0.2</v>
      </c>
      <c r="L14" s="52">
        <f t="shared" si="4"/>
        <v>3082.6400000000003</v>
      </c>
      <c r="M14" s="52">
        <f t="shared" si="5"/>
        <v>18495.84</v>
      </c>
      <c r="N14" s="53">
        <v>0.2</v>
      </c>
      <c r="O14" s="52">
        <f t="shared" si="6"/>
        <v>23119.8</v>
      </c>
      <c r="P14" s="1">
        <f t="shared" si="7"/>
        <v>23120</v>
      </c>
    </row>
    <row r="15" spans="1:16" x14ac:dyDescent="0.25">
      <c r="A15" s="58" t="s">
        <v>1833</v>
      </c>
      <c r="B15" s="51" t="s">
        <v>1834</v>
      </c>
      <c r="C15" s="51" t="s">
        <v>1819</v>
      </c>
      <c r="D15" s="51" t="s">
        <v>1835</v>
      </c>
      <c r="E15" s="1">
        <v>14910</v>
      </c>
      <c r="F15" s="1">
        <v>0</v>
      </c>
      <c r="G15" s="1">
        <v>0.13</v>
      </c>
      <c r="H15" s="52">
        <v>0</v>
      </c>
      <c r="I15" s="52">
        <v>1938.3</v>
      </c>
      <c r="J15" s="52">
        <v>16848.3</v>
      </c>
      <c r="K15" s="53">
        <v>0.2</v>
      </c>
      <c r="L15" s="52">
        <f t="shared" si="4"/>
        <v>3369.66</v>
      </c>
      <c r="M15" s="52">
        <f t="shared" si="5"/>
        <v>20217.96</v>
      </c>
      <c r="N15" s="53">
        <v>0.2</v>
      </c>
      <c r="O15" s="52">
        <f t="shared" si="6"/>
        <v>25272.449999999997</v>
      </c>
      <c r="P15" s="1">
        <f t="shared" si="7"/>
        <v>25270</v>
      </c>
    </row>
    <row r="16" spans="1:16" x14ac:dyDescent="0.25">
      <c r="A16" s="58" t="s">
        <v>1836</v>
      </c>
      <c r="B16" s="51" t="s">
        <v>1837</v>
      </c>
      <c r="C16" s="51" t="s">
        <v>1819</v>
      </c>
      <c r="D16" s="51" t="s">
        <v>1832</v>
      </c>
      <c r="E16" s="1">
        <v>13170</v>
      </c>
      <c r="F16" s="1">
        <v>0</v>
      </c>
      <c r="G16" s="1">
        <v>0.13</v>
      </c>
      <c r="H16" s="52">
        <v>0</v>
      </c>
      <c r="I16" s="52">
        <v>1712.1000000000001</v>
      </c>
      <c r="J16" s="52">
        <v>14882.1</v>
      </c>
      <c r="K16" s="53">
        <v>0.2</v>
      </c>
      <c r="L16" s="52">
        <f t="shared" si="4"/>
        <v>2976.42</v>
      </c>
      <c r="M16" s="52">
        <f t="shared" si="5"/>
        <v>17858.52</v>
      </c>
      <c r="N16" s="53">
        <v>0.2</v>
      </c>
      <c r="O16" s="52">
        <f t="shared" si="6"/>
        <v>22323.149999999998</v>
      </c>
      <c r="P16" s="1">
        <f t="shared" si="7"/>
        <v>22320</v>
      </c>
    </row>
    <row r="17" spans="1:16" x14ac:dyDescent="0.25">
      <c r="A17" s="58" t="s">
        <v>1838</v>
      </c>
      <c r="B17" s="51" t="s">
        <v>1839</v>
      </c>
      <c r="C17" s="51" t="s">
        <v>1819</v>
      </c>
      <c r="D17" s="51" t="s">
        <v>1840</v>
      </c>
      <c r="E17" s="1">
        <v>10330</v>
      </c>
      <c r="F17" s="1">
        <v>0</v>
      </c>
      <c r="G17" s="1">
        <v>0.13</v>
      </c>
      <c r="H17" s="52">
        <v>0</v>
      </c>
      <c r="I17" s="52">
        <v>1342.9</v>
      </c>
      <c r="J17" s="52">
        <v>11672.9</v>
      </c>
      <c r="K17" s="53">
        <v>0.2</v>
      </c>
      <c r="L17" s="52">
        <f t="shared" si="4"/>
        <v>2334.58</v>
      </c>
      <c r="M17" s="52">
        <f t="shared" si="5"/>
        <v>14007.48</v>
      </c>
      <c r="N17" s="53">
        <v>0.2</v>
      </c>
      <c r="O17" s="52">
        <f t="shared" si="6"/>
        <v>17509.349999999999</v>
      </c>
      <c r="P17" s="1">
        <f t="shared" si="7"/>
        <v>17510</v>
      </c>
    </row>
    <row r="18" spans="1:16" x14ac:dyDescent="0.25">
      <c r="A18" s="58" t="s">
        <v>1841</v>
      </c>
      <c r="B18" s="51" t="s">
        <v>1842</v>
      </c>
      <c r="C18" s="51" t="s">
        <v>1819</v>
      </c>
      <c r="D18" s="51" t="s">
        <v>1843</v>
      </c>
      <c r="E18" s="1">
        <v>18750</v>
      </c>
      <c r="F18" s="1">
        <v>0</v>
      </c>
      <c r="G18" s="1">
        <v>0.13</v>
      </c>
      <c r="H18" s="52">
        <v>0</v>
      </c>
      <c r="I18" s="52">
        <v>2437.5</v>
      </c>
      <c r="J18" s="52">
        <v>21187.5</v>
      </c>
      <c r="K18" s="53">
        <v>0.2</v>
      </c>
      <c r="L18" s="52">
        <f t="shared" si="4"/>
        <v>4237.5</v>
      </c>
      <c r="M18" s="52">
        <f t="shared" si="5"/>
        <v>25425</v>
      </c>
      <c r="N18" s="53">
        <v>0.2</v>
      </c>
      <c r="O18" s="52">
        <f t="shared" si="6"/>
        <v>31781.25</v>
      </c>
      <c r="P18" s="1">
        <f t="shared" si="7"/>
        <v>31780</v>
      </c>
    </row>
    <row r="19" spans="1:16" x14ac:dyDescent="0.25">
      <c r="A19" s="58" t="s">
        <v>1844</v>
      </c>
      <c r="B19" s="51" t="s">
        <v>1845</v>
      </c>
      <c r="C19" s="51" t="s">
        <v>1819</v>
      </c>
      <c r="D19" s="51"/>
      <c r="E19" s="1">
        <v>13190</v>
      </c>
      <c r="F19" s="1">
        <v>0</v>
      </c>
      <c r="G19" s="1">
        <v>0.13</v>
      </c>
      <c r="H19" s="52">
        <v>0</v>
      </c>
      <c r="I19" s="52">
        <v>1714.7</v>
      </c>
      <c r="J19" s="52">
        <v>14904.7</v>
      </c>
      <c r="K19" s="53">
        <v>0.2</v>
      </c>
      <c r="L19" s="52">
        <f t="shared" si="4"/>
        <v>2980.9400000000005</v>
      </c>
      <c r="M19" s="52">
        <f t="shared" si="5"/>
        <v>17885.64</v>
      </c>
      <c r="N19" s="53">
        <v>0.2</v>
      </c>
      <c r="O19" s="52">
        <f t="shared" si="6"/>
        <v>22357.05</v>
      </c>
      <c r="P19" s="1">
        <f t="shared" si="7"/>
        <v>22360</v>
      </c>
    </row>
    <row r="20" spans="1:16" x14ac:dyDescent="0.25">
      <c r="A20" s="58" t="s">
        <v>1846</v>
      </c>
      <c r="B20" s="51" t="s">
        <v>1847</v>
      </c>
      <c r="C20" s="51" t="s">
        <v>1819</v>
      </c>
      <c r="D20" s="51"/>
      <c r="E20" s="1">
        <v>15440</v>
      </c>
      <c r="F20" s="1">
        <v>0</v>
      </c>
      <c r="G20" s="1">
        <v>0.13</v>
      </c>
      <c r="H20" s="52">
        <v>0</v>
      </c>
      <c r="I20" s="52">
        <v>2007.2</v>
      </c>
      <c r="J20" s="52">
        <v>17447.2</v>
      </c>
      <c r="K20" s="53">
        <v>0.2</v>
      </c>
      <c r="L20" s="52">
        <f t="shared" si="4"/>
        <v>3489.4400000000005</v>
      </c>
      <c r="M20" s="52">
        <f t="shared" si="5"/>
        <v>20936.64</v>
      </c>
      <c r="N20" s="53">
        <v>0.2</v>
      </c>
      <c r="O20" s="52">
        <f t="shared" si="6"/>
        <v>26170.799999999999</v>
      </c>
      <c r="P20" s="1">
        <f t="shared" si="7"/>
        <v>26170</v>
      </c>
    </row>
    <row r="21" spans="1:16" x14ac:dyDescent="0.25">
      <c r="A21" s="121" t="s">
        <v>1848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</row>
    <row r="22" spans="1:16" x14ac:dyDescent="0.25">
      <c r="A22" s="58" t="s">
        <v>1849</v>
      </c>
      <c r="B22" s="51" t="s">
        <v>1850</v>
      </c>
      <c r="C22" s="51" t="s">
        <v>1848</v>
      </c>
      <c r="D22" s="51" t="s">
        <v>1832</v>
      </c>
      <c r="E22" s="1">
        <v>9590</v>
      </c>
      <c r="F22" s="1">
        <v>0</v>
      </c>
      <c r="G22" s="1">
        <v>0.13</v>
      </c>
      <c r="H22" s="52">
        <v>0</v>
      </c>
      <c r="I22" s="52">
        <v>1246.7</v>
      </c>
      <c r="J22" s="52">
        <v>10836.7</v>
      </c>
      <c r="K22" s="53">
        <v>0.2</v>
      </c>
      <c r="L22" s="52">
        <f t="shared" si="4"/>
        <v>2167.34</v>
      </c>
      <c r="M22" s="52">
        <f t="shared" si="5"/>
        <v>13004.04</v>
      </c>
      <c r="N22" s="53">
        <v>0.2</v>
      </c>
      <c r="O22" s="52">
        <f t="shared" si="6"/>
        <v>16255.050000000001</v>
      </c>
      <c r="P22" s="1">
        <f t="shared" ref="P22:P32" si="8">MROUND(O22,10)</f>
        <v>16260</v>
      </c>
    </row>
    <row r="23" spans="1:16" x14ac:dyDescent="0.25">
      <c r="A23" s="58" t="s">
        <v>1851</v>
      </c>
      <c r="B23" s="51" t="s">
        <v>1852</v>
      </c>
      <c r="C23" s="51" t="s">
        <v>1848</v>
      </c>
      <c r="D23" s="51" t="s">
        <v>1853</v>
      </c>
      <c r="E23" s="1">
        <v>10390</v>
      </c>
      <c r="F23" s="1">
        <v>0</v>
      </c>
      <c r="G23" s="1">
        <v>0.13</v>
      </c>
      <c r="H23" s="52">
        <v>0</v>
      </c>
      <c r="I23" s="52">
        <v>1350.7</v>
      </c>
      <c r="J23" s="52">
        <v>11740.7</v>
      </c>
      <c r="K23" s="53">
        <v>0.2</v>
      </c>
      <c r="L23" s="52">
        <f t="shared" si="4"/>
        <v>2348.1400000000003</v>
      </c>
      <c r="M23" s="52">
        <f t="shared" si="5"/>
        <v>14088.84</v>
      </c>
      <c r="N23" s="53">
        <v>0.2</v>
      </c>
      <c r="O23" s="52">
        <f t="shared" si="6"/>
        <v>17611.05</v>
      </c>
      <c r="P23" s="1">
        <f t="shared" si="8"/>
        <v>17610</v>
      </c>
    </row>
    <row r="24" spans="1:16" x14ac:dyDescent="0.25">
      <c r="A24" s="58" t="s">
        <v>1854</v>
      </c>
      <c r="B24" s="51" t="s">
        <v>1855</v>
      </c>
      <c r="C24" s="51" t="s">
        <v>1848</v>
      </c>
      <c r="D24" s="51" t="s">
        <v>1832</v>
      </c>
      <c r="E24" s="1">
        <v>13250</v>
      </c>
      <c r="F24" s="1">
        <v>0</v>
      </c>
      <c r="G24" s="1">
        <v>0.13</v>
      </c>
      <c r="H24" s="52">
        <v>0</v>
      </c>
      <c r="I24" s="52">
        <v>1722.5</v>
      </c>
      <c r="J24" s="52">
        <v>14972.5</v>
      </c>
      <c r="K24" s="53">
        <v>0.2</v>
      </c>
      <c r="L24" s="52">
        <f t="shared" si="4"/>
        <v>2994.5</v>
      </c>
      <c r="M24" s="52">
        <f t="shared" si="5"/>
        <v>17967</v>
      </c>
      <c r="N24" s="53">
        <v>0.2</v>
      </c>
      <c r="O24" s="52">
        <f t="shared" si="6"/>
        <v>22458.75</v>
      </c>
      <c r="P24" s="1">
        <f t="shared" si="8"/>
        <v>22460</v>
      </c>
    </row>
    <row r="25" spans="1:16" x14ac:dyDescent="0.25">
      <c r="A25" s="58" t="s">
        <v>1856</v>
      </c>
      <c r="B25" s="51" t="s">
        <v>1857</v>
      </c>
      <c r="C25" s="51" t="s">
        <v>1848</v>
      </c>
      <c r="D25" s="51" t="s">
        <v>1858</v>
      </c>
      <c r="E25" s="1">
        <v>19680</v>
      </c>
      <c r="F25" s="1">
        <v>0</v>
      </c>
      <c r="G25" s="1">
        <v>0.13</v>
      </c>
      <c r="H25" s="52">
        <v>0</v>
      </c>
      <c r="I25" s="52">
        <v>2558.4</v>
      </c>
      <c r="J25" s="52">
        <v>22238.400000000001</v>
      </c>
      <c r="K25" s="53">
        <v>0.2</v>
      </c>
      <c r="L25" s="52">
        <f t="shared" si="4"/>
        <v>4447.68</v>
      </c>
      <c r="M25" s="52">
        <f t="shared" si="5"/>
        <v>26686.080000000002</v>
      </c>
      <c r="N25" s="53">
        <v>0.2</v>
      </c>
      <c r="O25" s="52">
        <f t="shared" si="6"/>
        <v>33357.599999999999</v>
      </c>
      <c r="P25" s="1">
        <f t="shared" si="8"/>
        <v>33360</v>
      </c>
    </row>
    <row r="26" spans="1:16" x14ac:dyDescent="0.25">
      <c r="A26" s="58" t="s">
        <v>1859</v>
      </c>
      <c r="B26" s="51" t="s">
        <v>1860</v>
      </c>
      <c r="C26" s="51" t="s">
        <v>1848</v>
      </c>
      <c r="D26" s="51" t="s">
        <v>1861</v>
      </c>
      <c r="E26" s="1">
        <v>19680</v>
      </c>
      <c r="F26" s="1">
        <v>0</v>
      </c>
      <c r="G26" s="1">
        <v>0.13</v>
      </c>
      <c r="H26" s="52">
        <v>0</v>
      </c>
      <c r="I26" s="52">
        <v>2558.4</v>
      </c>
      <c r="J26" s="52">
        <v>22238.400000000001</v>
      </c>
      <c r="K26" s="53">
        <v>0.2</v>
      </c>
      <c r="L26" s="52">
        <f t="shared" si="4"/>
        <v>4447.68</v>
      </c>
      <c r="M26" s="52">
        <f t="shared" si="5"/>
        <v>26686.080000000002</v>
      </c>
      <c r="N26" s="53">
        <v>0.2</v>
      </c>
      <c r="O26" s="52">
        <f t="shared" si="6"/>
        <v>33357.599999999999</v>
      </c>
      <c r="P26" s="1">
        <f t="shared" si="8"/>
        <v>33360</v>
      </c>
    </row>
    <row r="27" spans="1:16" x14ac:dyDescent="0.25">
      <c r="A27" s="58" t="s">
        <v>1862</v>
      </c>
      <c r="B27" s="51" t="s">
        <v>1863</v>
      </c>
      <c r="C27" s="51" t="s">
        <v>1848</v>
      </c>
      <c r="D27" s="51" t="s">
        <v>1864</v>
      </c>
      <c r="E27" s="1">
        <v>24080</v>
      </c>
      <c r="F27" s="1">
        <v>0</v>
      </c>
      <c r="G27" s="1">
        <v>0.13</v>
      </c>
      <c r="H27" s="52">
        <v>0</v>
      </c>
      <c r="I27" s="52">
        <v>3130.4</v>
      </c>
      <c r="J27" s="52">
        <v>27210.400000000001</v>
      </c>
      <c r="K27" s="53">
        <v>0.2</v>
      </c>
      <c r="L27" s="52">
        <f t="shared" si="4"/>
        <v>5442.0800000000008</v>
      </c>
      <c r="M27" s="52">
        <f t="shared" si="5"/>
        <v>32652.480000000003</v>
      </c>
      <c r="N27" s="53">
        <v>0.2</v>
      </c>
      <c r="O27" s="52">
        <f t="shared" si="6"/>
        <v>40815.599999999999</v>
      </c>
      <c r="P27" s="1">
        <f t="shared" si="8"/>
        <v>40820</v>
      </c>
    </row>
    <row r="28" spans="1:16" x14ac:dyDescent="0.25">
      <c r="A28" s="58" t="s">
        <v>1865</v>
      </c>
      <c r="B28" s="51" t="s">
        <v>1866</v>
      </c>
      <c r="C28" s="51" t="s">
        <v>1848</v>
      </c>
      <c r="D28" s="51" t="s">
        <v>1867</v>
      </c>
      <c r="E28" s="1">
        <v>6110</v>
      </c>
      <c r="F28" s="1">
        <v>0</v>
      </c>
      <c r="G28" s="1">
        <v>0.13</v>
      </c>
      <c r="H28" s="52">
        <v>0</v>
      </c>
      <c r="I28" s="52">
        <v>794.30000000000007</v>
      </c>
      <c r="J28" s="52">
        <v>6904.3</v>
      </c>
      <c r="K28" s="53">
        <v>0.2</v>
      </c>
      <c r="L28" s="52">
        <f t="shared" si="4"/>
        <v>1380.8600000000001</v>
      </c>
      <c r="M28" s="52">
        <f t="shared" si="5"/>
        <v>8285.16</v>
      </c>
      <c r="N28" s="53">
        <v>0.2</v>
      </c>
      <c r="O28" s="52">
        <f t="shared" si="6"/>
        <v>10356.449999999999</v>
      </c>
      <c r="P28" s="1">
        <f t="shared" si="8"/>
        <v>10360</v>
      </c>
    </row>
    <row r="29" spans="1:16" x14ac:dyDescent="0.25">
      <c r="A29" s="58" t="s">
        <v>1868</v>
      </c>
      <c r="B29" s="51" t="s">
        <v>1869</v>
      </c>
      <c r="C29" s="51" t="s">
        <v>1848</v>
      </c>
      <c r="D29" s="51" t="s">
        <v>1829</v>
      </c>
      <c r="E29" s="1">
        <v>15630</v>
      </c>
      <c r="F29" s="1">
        <v>0</v>
      </c>
      <c r="G29" s="1">
        <v>0.13</v>
      </c>
      <c r="H29" s="52">
        <v>0</v>
      </c>
      <c r="I29" s="52">
        <v>2031.9</v>
      </c>
      <c r="J29" s="52">
        <v>17661.900000000001</v>
      </c>
      <c r="K29" s="53">
        <v>0.2</v>
      </c>
      <c r="L29" s="52">
        <f t="shared" si="4"/>
        <v>3532.3800000000006</v>
      </c>
      <c r="M29" s="52">
        <f t="shared" si="5"/>
        <v>21194.280000000002</v>
      </c>
      <c r="N29" s="53">
        <v>0.2</v>
      </c>
      <c r="O29" s="52">
        <f t="shared" si="6"/>
        <v>26492.850000000002</v>
      </c>
      <c r="P29" s="1">
        <f t="shared" si="8"/>
        <v>26490</v>
      </c>
    </row>
    <row r="30" spans="1:16" x14ac:dyDescent="0.25">
      <c r="A30" s="58" t="s">
        <v>1870</v>
      </c>
      <c r="B30" s="51" t="s">
        <v>1871</v>
      </c>
      <c r="C30" s="51" t="s">
        <v>1848</v>
      </c>
      <c r="D30" s="51" t="s">
        <v>1872</v>
      </c>
      <c r="E30" s="1">
        <v>10280</v>
      </c>
      <c r="F30" s="1">
        <v>0</v>
      </c>
      <c r="G30" s="1">
        <v>0.13</v>
      </c>
      <c r="H30" s="52">
        <v>0</v>
      </c>
      <c r="I30" s="52">
        <v>1336.4</v>
      </c>
      <c r="J30" s="52">
        <v>11616.4</v>
      </c>
      <c r="K30" s="53">
        <v>0.2</v>
      </c>
      <c r="L30" s="52">
        <f t="shared" si="4"/>
        <v>2323.2800000000002</v>
      </c>
      <c r="M30" s="52">
        <f t="shared" si="5"/>
        <v>13939.68</v>
      </c>
      <c r="N30" s="53">
        <v>0.2</v>
      </c>
      <c r="O30" s="52">
        <f t="shared" si="6"/>
        <v>17424.599999999999</v>
      </c>
      <c r="P30" s="1">
        <f t="shared" si="8"/>
        <v>17420</v>
      </c>
    </row>
    <row r="31" spans="1:16" x14ac:dyDescent="0.25">
      <c r="A31" s="58" t="s">
        <v>1873</v>
      </c>
      <c r="B31" s="51" t="s">
        <v>1874</v>
      </c>
      <c r="C31" s="51" t="s">
        <v>1848</v>
      </c>
      <c r="D31" s="51" t="s">
        <v>1826</v>
      </c>
      <c r="E31" s="1">
        <v>12060</v>
      </c>
      <c r="F31" s="1">
        <v>0</v>
      </c>
      <c r="G31" s="1">
        <v>0.13</v>
      </c>
      <c r="H31" s="52">
        <v>0</v>
      </c>
      <c r="I31" s="52">
        <v>1567.8</v>
      </c>
      <c r="J31" s="52">
        <v>13627.8</v>
      </c>
      <c r="K31" s="53">
        <v>0.2</v>
      </c>
      <c r="L31" s="52">
        <f t="shared" si="4"/>
        <v>2725.56</v>
      </c>
      <c r="M31" s="52">
        <f t="shared" si="5"/>
        <v>16353.359999999999</v>
      </c>
      <c r="N31" s="53">
        <v>0.2</v>
      </c>
      <c r="O31" s="52">
        <f t="shared" si="6"/>
        <v>20441.699999999997</v>
      </c>
      <c r="P31" s="1">
        <f t="shared" si="8"/>
        <v>20440</v>
      </c>
    </row>
    <row r="32" spans="1:16" x14ac:dyDescent="0.25">
      <c r="A32" s="58" t="s">
        <v>1875</v>
      </c>
      <c r="B32" s="51" t="s">
        <v>1876</v>
      </c>
      <c r="C32" s="51" t="s">
        <v>1848</v>
      </c>
      <c r="D32" s="51" t="s">
        <v>1877</v>
      </c>
      <c r="E32" s="1">
        <v>14800</v>
      </c>
      <c r="F32" s="1">
        <v>0</v>
      </c>
      <c r="G32" s="1">
        <v>0.13</v>
      </c>
      <c r="H32" s="52">
        <v>0</v>
      </c>
      <c r="I32" s="52">
        <v>1924</v>
      </c>
      <c r="J32" s="52">
        <v>16724</v>
      </c>
      <c r="K32" s="53">
        <v>0.2</v>
      </c>
      <c r="L32" s="52">
        <f t="shared" si="4"/>
        <v>3344.8</v>
      </c>
      <c r="M32" s="52">
        <f t="shared" si="5"/>
        <v>20068.8</v>
      </c>
      <c r="N32" s="53">
        <v>0.2</v>
      </c>
      <c r="O32" s="52">
        <f t="shared" si="6"/>
        <v>25085.999999999996</v>
      </c>
      <c r="P32" s="1">
        <f t="shared" si="8"/>
        <v>25090</v>
      </c>
    </row>
    <row r="33" spans="1:16" x14ac:dyDescent="0.25">
      <c r="A33" s="121" t="s">
        <v>1878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3"/>
    </row>
    <row r="34" spans="1:16" x14ac:dyDescent="0.25">
      <c r="A34" s="58" t="s">
        <v>1879</v>
      </c>
      <c r="B34" s="51" t="s">
        <v>1880</v>
      </c>
      <c r="C34" s="51" t="s">
        <v>1848</v>
      </c>
      <c r="D34" s="51" t="s">
        <v>1881</v>
      </c>
      <c r="E34" s="1">
        <v>52040</v>
      </c>
      <c r="F34" s="1">
        <v>0</v>
      </c>
      <c r="G34" s="1">
        <v>0.13</v>
      </c>
      <c r="H34" s="52">
        <v>0</v>
      </c>
      <c r="I34" s="52">
        <v>6765.2</v>
      </c>
      <c r="J34" s="52">
        <v>58805.2</v>
      </c>
      <c r="K34" s="53">
        <v>0.2</v>
      </c>
      <c r="L34" s="52">
        <f t="shared" si="4"/>
        <v>11761.04</v>
      </c>
      <c r="M34" s="52">
        <f t="shared" si="5"/>
        <v>70566.239999999991</v>
      </c>
      <c r="N34" s="53">
        <v>0.2</v>
      </c>
      <c r="O34" s="52">
        <f t="shared" si="6"/>
        <v>88207.799999999988</v>
      </c>
      <c r="P34" s="1">
        <f t="shared" ref="P34:P48" si="9">MROUND(O34,10)</f>
        <v>88210</v>
      </c>
    </row>
    <row r="35" spans="1:16" x14ac:dyDescent="0.25">
      <c r="A35" s="58" t="s">
        <v>1882</v>
      </c>
      <c r="B35" s="51" t="s">
        <v>1883</v>
      </c>
      <c r="C35" s="51" t="s">
        <v>1848</v>
      </c>
      <c r="D35" s="51" t="s">
        <v>1826</v>
      </c>
      <c r="E35" s="1">
        <v>31200</v>
      </c>
      <c r="F35" s="1">
        <v>0</v>
      </c>
      <c r="G35" s="1">
        <v>0.13</v>
      </c>
      <c r="H35" s="52">
        <v>0</v>
      </c>
      <c r="I35" s="52">
        <v>4056</v>
      </c>
      <c r="J35" s="52">
        <v>35256</v>
      </c>
      <c r="K35" s="53">
        <v>0.2</v>
      </c>
      <c r="L35" s="52">
        <f t="shared" si="4"/>
        <v>7051.2000000000007</v>
      </c>
      <c r="M35" s="52">
        <f t="shared" si="5"/>
        <v>42307.199999999997</v>
      </c>
      <c r="N35" s="53">
        <v>0.2</v>
      </c>
      <c r="O35" s="52">
        <f t="shared" si="6"/>
        <v>52883.999999999993</v>
      </c>
      <c r="P35" s="1">
        <f t="shared" si="9"/>
        <v>52880</v>
      </c>
    </row>
    <row r="36" spans="1:16" x14ac:dyDescent="0.25">
      <c r="A36" s="58" t="s">
        <v>1884</v>
      </c>
      <c r="B36" s="51" t="s">
        <v>1885</v>
      </c>
      <c r="C36" s="51" t="s">
        <v>1848</v>
      </c>
      <c r="D36" s="51" t="s">
        <v>1886</v>
      </c>
      <c r="E36" s="1">
        <v>29680</v>
      </c>
      <c r="F36" s="1">
        <v>0</v>
      </c>
      <c r="G36" s="1">
        <v>0.13</v>
      </c>
      <c r="H36" s="52">
        <v>0</v>
      </c>
      <c r="I36" s="52">
        <v>3858.4</v>
      </c>
      <c r="J36" s="52">
        <v>33538.400000000001</v>
      </c>
      <c r="K36" s="53">
        <v>0.2</v>
      </c>
      <c r="L36" s="52">
        <f t="shared" si="4"/>
        <v>6707.68</v>
      </c>
      <c r="M36" s="52">
        <f t="shared" si="5"/>
        <v>40246.080000000002</v>
      </c>
      <c r="N36" s="53">
        <v>0.2</v>
      </c>
      <c r="O36" s="52">
        <f t="shared" si="6"/>
        <v>50307.6</v>
      </c>
      <c r="P36" s="1">
        <f t="shared" si="9"/>
        <v>50310</v>
      </c>
    </row>
    <row r="37" spans="1:16" x14ac:dyDescent="0.25">
      <c r="A37" s="58" t="s">
        <v>1887</v>
      </c>
      <c r="B37" s="51" t="s">
        <v>1888</v>
      </c>
      <c r="C37" s="51" t="s">
        <v>1848</v>
      </c>
      <c r="D37" s="51" t="s">
        <v>1889</v>
      </c>
      <c r="E37" s="1">
        <v>29760</v>
      </c>
      <c r="F37" s="1">
        <v>0</v>
      </c>
      <c r="G37" s="1">
        <v>0.13</v>
      </c>
      <c r="H37" s="52">
        <v>0</v>
      </c>
      <c r="I37" s="52">
        <v>3868.8</v>
      </c>
      <c r="J37" s="52">
        <v>33628.800000000003</v>
      </c>
      <c r="K37" s="53">
        <v>0.2</v>
      </c>
      <c r="L37" s="52">
        <f t="shared" si="4"/>
        <v>6725.7600000000011</v>
      </c>
      <c r="M37" s="52">
        <f t="shared" si="5"/>
        <v>40354.560000000005</v>
      </c>
      <c r="N37" s="53">
        <v>0.2</v>
      </c>
      <c r="O37" s="52">
        <f t="shared" si="6"/>
        <v>50443.200000000004</v>
      </c>
      <c r="P37" s="1">
        <f t="shared" si="9"/>
        <v>50440</v>
      </c>
    </row>
    <row r="38" spans="1:16" x14ac:dyDescent="0.25">
      <c r="A38" s="58" t="s">
        <v>1890</v>
      </c>
      <c r="B38" s="51" t="s">
        <v>1891</v>
      </c>
      <c r="C38" s="51" t="s">
        <v>1848</v>
      </c>
      <c r="D38" s="51" t="s">
        <v>1881</v>
      </c>
      <c r="E38" s="1">
        <v>54210</v>
      </c>
      <c r="F38" s="1">
        <v>0</v>
      </c>
      <c r="G38" s="1">
        <v>0.13</v>
      </c>
      <c r="H38" s="52">
        <v>0</v>
      </c>
      <c r="I38" s="52">
        <v>7047.3</v>
      </c>
      <c r="J38" s="52">
        <v>61257.3</v>
      </c>
      <c r="K38" s="53">
        <v>0.2</v>
      </c>
      <c r="L38" s="52">
        <f t="shared" si="4"/>
        <v>12251.460000000001</v>
      </c>
      <c r="M38" s="52">
        <f t="shared" si="5"/>
        <v>73508.760000000009</v>
      </c>
      <c r="N38" s="53">
        <v>0.2</v>
      </c>
      <c r="O38" s="52">
        <f t="shared" si="6"/>
        <v>91885.950000000012</v>
      </c>
      <c r="P38" s="1">
        <f t="shared" si="9"/>
        <v>91890</v>
      </c>
    </row>
    <row r="39" spans="1:16" x14ac:dyDescent="0.25">
      <c r="A39" s="58" t="s">
        <v>1892</v>
      </c>
      <c r="B39" s="51" t="s">
        <v>1893</v>
      </c>
      <c r="C39" s="51" t="s">
        <v>1848</v>
      </c>
      <c r="D39" s="51" t="s">
        <v>1881</v>
      </c>
      <c r="E39" s="1">
        <v>54210</v>
      </c>
      <c r="F39" s="1">
        <v>0</v>
      </c>
      <c r="G39" s="1">
        <v>0.13</v>
      </c>
      <c r="H39" s="52">
        <v>0</v>
      </c>
      <c r="I39" s="52">
        <v>7047.3</v>
      </c>
      <c r="J39" s="52">
        <v>61257.3</v>
      </c>
      <c r="K39" s="53">
        <v>0.2</v>
      </c>
      <c r="L39" s="52">
        <f t="shared" si="4"/>
        <v>12251.460000000001</v>
      </c>
      <c r="M39" s="52">
        <f t="shared" si="5"/>
        <v>73508.760000000009</v>
      </c>
      <c r="N39" s="53">
        <v>0.2</v>
      </c>
      <c r="O39" s="52">
        <f t="shared" si="6"/>
        <v>91885.950000000012</v>
      </c>
      <c r="P39" s="1">
        <f t="shared" si="9"/>
        <v>91890</v>
      </c>
    </row>
    <row r="40" spans="1:16" x14ac:dyDescent="0.25">
      <c r="A40" s="58" t="s">
        <v>1894</v>
      </c>
      <c r="B40" s="51" t="s">
        <v>1895</v>
      </c>
      <c r="C40" s="51" t="s">
        <v>1896</v>
      </c>
      <c r="D40" s="51" t="s">
        <v>1881</v>
      </c>
      <c r="E40" s="1">
        <v>14750</v>
      </c>
      <c r="F40" s="1">
        <v>0</v>
      </c>
      <c r="G40" s="1">
        <v>0.13</v>
      </c>
      <c r="H40" s="52">
        <v>0</v>
      </c>
      <c r="I40" s="52">
        <v>1917.5</v>
      </c>
      <c r="J40" s="52">
        <v>16667.5</v>
      </c>
      <c r="K40" s="53">
        <v>0.2</v>
      </c>
      <c r="L40" s="52">
        <f t="shared" si="4"/>
        <v>3333.5</v>
      </c>
      <c r="M40" s="52">
        <f t="shared" si="5"/>
        <v>20001</v>
      </c>
      <c r="N40" s="53">
        <v>0.2</v>
      </c>
      <c r="O40" s="52">
        <f t="shared" si="6"/>
        <v>25001.25</v>
      </c>
      <c r="P40" s="1">
        <f t="shared" si="9"/>
        <v>25000</v>
      </c>
    </row>
    <row r="41" spans="1:16" x14ac:dyDescent="0.25">
      <c r="A41" s="58" t="s">
        <v>1897</v>
      </c>
      <c r="B41" s="51" t="s">
        <v>1898</v>
      </c>
      <c r="C41" s="51" t="s">
        <v>1896</v>
      </c>
      <c r="D41" s="51" t="s">
        <v>1881</v>
      </c>
      <c r="E41" s="1">
        <v>14750</v>
      </c>
      <c r="F41" s="1">
        <v>0</v>
      </c>
      <c r="G41" s="1">
        <v>0.13</v>
      </c>
      <c r="H41" s="52">
        <v>0</v>
      </c>
      <c r="I41" s="52">
        <v>1917.5</v>
      </c>
      <c r="J41" s="52">
        <v>16667.5</v>
      </c>
      <c r="K41" s="53">
        <v>0.2</v>
      </c>
      <c r="L41" s="52">
        <f t="shared" si="4"/>
        <v>3333.5</v>
      </c>
      <c r="M41" s="52">
        <f t="shared" si="5"/>
        <v>20001</v>
      </c>
      <c r="N41" s="53">
        <v>0.2</v>
      </c>
      <c r="O41" s="52">
        <f t="shared" si="6"/>
        <v>25001.25</v>
      </c>
      <c r="P41" s="1">
        <f t="shared" si="9"/>
        <v>25000</v>
      </c>
    </row>
    <row r="42" spans="1:16" x14ac:dyDescent="0.25">
      <c r="A42" s="58" t="s">
        <v>1899</v>
      </c>
      <c r="B42" s="51" t="s">
        <v>1900</v>
      </c>
      <c r="C42" s="51" t="s">
        <v>1896</v>
      </c>
      <c r="D42" s="51" t="s">
        <v>1881</v>
      </c>
      <c r="E42" s="1">
        <v>18220</v>
      </c>
      <c r="F42" s="1">
        <v>0</v>
      </c>
      <c r="G42" s="1">
        <v>0.13</v>
      </c>
      <c r="H42" s="52">
        <v>0</v>
      </c>
      <c r="I42" s="52">
        <v>2368.6</v>
      </c>
      <c r="J42" s="52">
        <v>20588.599999999999</v>
      </c>
      <c r="K42" s="53">
        <v>0.2</v>
      </c>
      <c r="L42" s="52">
        <f t="shared" si="4"/>
        <v>4117.72</v>
      </c>
      <c r="M42" s="52">
        <f t="shared" si="5"/>
        <v>24706.32</v>
      </c>
      <c r="N42" s="53">
        <v>0.2</v>
      </c>
      <c r="O42" s="52">
        <f t="shared" si="6"/>
        <v>30882.899999999998</v>
      </c>
      <c r="P42" s="1">
        <f t="shared" si="9"/>
        <v>30880</v>
      </c>
    </row>
    <row r="43" spans="1:16" x14ac:dyDescent="0.25">
      <c r="A43" s="58" t="s">
        <v>1901</v>
      </c>
      <c r="B43" s="51" t="s">
        <v>1902</v>
      </c>
      <c r="C43" s="51" t="s">
        <v>1896</v>
      </c>
      <c r="D43" s="51" t="s">
        <v>1881</v>
      </c>
      <c r="E43" s="1">
        <v>14750</v>
      </c>
      <c r="F43" s="1">
        <v>0</v>
      </c>
      <c r="G43" s="1">
        <v>0.13</v>
      </c>
      <c r="H43" s="52">
        <v>0</v>
      </c>
      <c r="I43" s="52">
        <v>1917.5</v>
      </c>
      <c r="J43" s="52">
        <v>16667.5</v>
      </c>
      <c r="K43" s="53">
        <v>0.2</v>
      </c>
      <c r="L43" s="52">
        <f t="shared" si="4"/>
        <v>3333.5</v>
      </c>
      <c r="M43" s="52">
        <f t="shared" si="5"/>
        <v>20001</v>
      </c>
      <c r="N43" s="53">
        <v>0.2</v>
      </c>
      <c r="O43" s="52">
        <f t="shared" si="6"/>
        <v>25001.25</v>
      </c>
      <c r="P43" s="1">
        <f t="shared" si="9"/>
        <v>25000</v>
      </c>
    </row>
    <row r="44" spans="1:16" x14ac:dyDescent="0.25">
      <c r="A44" s="58" t="s">
        <v>1903</v>
      </c>
      <c r="B44" s="51" t="s">
        <v>1904</v>
      </c>
      <c r="C44" s="51" t="s">
        <v>1896</v>
      </c>
      <c r="D44" s="51" t="s">
        <v>1881</v>
      </c>
      <c r="E44" s="1">
        <v>14750</v>
      </c>
      <c r="F44" s="1">
        <v>0</v>
      </c>
      <c r="G44" s="1">
        <v>0.13</v>
      </c>
      <c r="H44" s="52">
        <v>0</v>
      </c>
      <c r="I44" s="52">
        <v>1917.5</v>
      </c>
      <c r="J44" s="52">
        <v>16667.5</v>
      </c>
      <c r="K44" s="53">
        <v>0.2</v>
      </c>
      <c r="L44" s="52">
        <f t="shared" si="4"/>
        <v>3333.5</v>
      </c>
      <c r="M44" s="52">
        <f t="shared" si="5"/>
        <v>20001</v>
      </c>
      <c r="N44" s="53">
        <v>0.2</v>
      </c>
      <c r="O44" s="52">
        <f t="shared" si="6"/>
        <v>25001.25</v>
      </c>
      <c r="P44" s="1">
        <f t="shared" si="9"/>
        <v>25000</v>
      </c>
    </row>
    <row r="45" spans="1:16" x14ac:dyDescent="0.25">
      <c r="A45" s="58" t="s">
        <v>1905</v>
      </c>
      <c r="B45" s="51" t="s">
        <v>1906</v>
      </c>
      <c r="C45" s="51" t="s">
        <v>1896</v>
      </c>
      <c r="D45" s="51" t="s">
        <v>1881</v>
      </c>
      <c r="E45" s="1">
        <v>18220</v>
      </c>
      <c r="F45" s="1">
        <v>0</v>
      </c>
      <c r="G45" s="1">
        <v>0.13</v>
      </c>
      <c r="H45" s="52">
        <v>0</v>
      </c>
      <c r="I45" s="52">
        <v>2368.6</v>
      </c>
      <c r="J45" s="52">
        <v>20588.599999999999</v>
      </c>
      <c r="K45" s="53">
        <v>0.2</v>
      </c>
      <c r="L45" s="52">
        <f t="shared" si="4"/>
        <v>4117.72</v>
      </c>
      <c r="M45" s="52">
        <f t="shared" si="5"/>
        <v>24706.32</v>
      </c>
      <c r="N45" s="53">
        <v>0.2</v>
      </c>
      <c r="O45" s="52">
        <f t="shared" si="6"/>
        <v>30882.899999999998</v>
      </c>
      <c r="P45" s="1">
        <f t="shared" si="9"/>
        <v>30880</v>
      </c>
    </row>
    <row r="46" spans="1:16" x14ac:dyDescent="0.25">
      <c r="A46" s="58" t="s">
        <v>1907</v>
      </c>
      <c r="B46" s="51" t="s">
        <v>1908</v>
      </c>
      <c r="C46" s="51" t="s">
        <v>1896</v>
      </c>
      <c r="D46" s="51" t="s">
        <v>1881</v>
      </c>
      <c r="E46" s="1">
        <v>14750</v>
      </c>
      <c r="F46" s="1">
        <v>0</v>
      </c>
      <c r="G46" s="1">
        <v>0.13</v>
      </c>
      <c r="H46" s="52">
        <v>0</v>
      </c>
      <c r="I46" s="52">
        <v>1917.5</v>
      </c>
      <c r="J46" s="52">
        <v>16667.5</v>
      </c>
      <c r="K46" s="53">
        <v>0.2</v>
      </c>
      <c r="L46" s="52">
        <f t="shared" si="4"/>
        <v>3333.5</v>
      </c>
      <c r="M46" s="52">
        <f t="shared" si="5"/>
        <v>20001</v>
      </c>
      <c r="N46" s="53">
        <v>0.2</v>
      </c>
      <c r="O46" s="52">
        <f t="shared" si="6"/>
        <v>25001.25</v>
      </c>
      <c r="P46" s="1">
        <f t="shared" si="9"/>
        <v>25000</v>
      </c>
    </row>
    <row r="47" spans="1:16" x14ac:dyDescent="0.25">
      <c r="A47" s="58" t="s">
        <v>1909</v>
      </c>
      <c r="B47" s="51" t="s">
        <v>1910</v>
      </c>
      <c r="C47" s="51" t="s">
        <v>1896</v>
      </c>
      <c r="D47" s="51" t="s">
        <v>1881</v>
      </c>
      <c r="E47" s="1">
        <v>14750</v>
      </c>
      <c r="F47" s="1">
        <v>0</v>
      </c>
      <c r="G47" s="1">
        <v>0.13</v>
      </c>
      <c r="H47" s="52">
        <v>0</v>
      </c>
      <c r="I47" s="52">
        <v>1917.5</v>
      </c>
      <c r="J47" s="52">
        <v>16667.5</v>
      </c>
      <c r="K47" s="53">
        <v>0.2</v>
      </c>
      <c r="L47" s="52">
        <f t="shared" si="4"/>
        <v>3333.5</v>
      </c>
      <c r="M47" s="52">
        <f t="shared" si="5"/>
        <v>20001</v>
      </c>
      <c r="N47" s="53">
        <v>0.2</v>
      </c>
      <c r="O47" s="52">
        <f t="shared" si="6"/>
        <v>25001.25</v>
      </c>
      <c r="P47" s="1">
        <f t="shared" si="9"/>
        <v>25000</v>
      </c>
    </row>
    <row r="48" spans="1:16" x14ac:dyDescent="0.25">
      <c r="A48" s="58" t="s">
        <v>1911</v>
      </c>
      <c r="B48" s="51" t="s">
        <v>1912</v>
      </c>
      <c r="C48" s="51" t="s">
        <v>1896</v>
      </c>
      <c r="D48" s="51" t="s">
        <v>1881</v>
      </c>
      <c r="E48" s="1">
        <v>18220</v>
      </c>
      <c r="F48" s="1">
        <v>0</v>
      </c>
      <c r="G48" s="1">
        <v>0.13</v>
      </c>
      <c r="H48" s="52">
        <v>0</v>
      </c>
      <c r="I48" s="52">
        <v>2368.6</v>
      </c>
      <c r="J48" s="52">
        <v>20588.599999999999</v>
      </c>
      <c r="K48" s="53">
        <v>0.2</v>
      </c>
      <c r="L48" s="52">
        <f t="shared" si="4"/>
        <v>4117.72</v>
      </c>
      <c r="M48" s="52">
        <f t="shared" si="5"/>
        <v>24706.32</v>
      </c>
      <c r="N48" s="53">
        <v>0.2</v>
      </c>
      <c r="O48" s="52">
        <f t="shared" si="6"/>
        <v>30882.899999999998</v>
      </c>
      <c r="P48" s="1">
        <f t="shared" si="9"/>
        <v>30880</v>
      </c>
    </row>
    <row r="49" spans="1:19" x14ac:dyDescent="0.25">
      <c r="A49" s="121" t="s">
        <v>1913</v>
      </c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3"/>
    </row>
    <row r="50" spans="1:19" x14ac:dyDescent="0.25">
      <c r="A50" s="58" t="s">
        <v>1914</v>
      </c>
      <c r="B50" s="51" t="s">
        <v>1915</v>
      </c>
      <c r="C50" s="51" t="s">
        <v>1916</v>
      </c>
      <c r="D50" s="51" t="s">
        <v>1917</v>
      </c>
      <c r="E50" s="1">
        <v>12020</v>
      </c>
      <c r="F50" s="1">
        <v>0</v>
      </c>
      <c r="G50" s="1">
        <v>0.13</v>
      </c>
      <c r="H50" s="52">
        <v>0</v>
      </c>
      <c r="I50" s="52">
        <v>1562.6000000000001</v>
      </c>
      <c r="J50" s="52">
        <v>13582.6</v>
      </c>
      <c r="K50" s="53">
        <v>0.2</v>
      </c>
      <c r="L50" s="52">
        <f t="shared" si="4"/>
        <v>2716.5200000000004</v>
      </c>
      <c r="M50" s="52">
        <f t="shared" si="5"/>
        <v>16299.12</v>
      </c>
      <c r="N50" s="53">
        <v>0.2</v>
      </c>
      <c r="O50" s="52">
        <f t="shared" si="6"/>
        <v>20373.900000000001</v>
      </c>
      <c r="P50" s="1">
        <f t="shared" ref="P50:P84" si="10">MROUND(O50,10)</f>
        <v>20370</v>
      </c>
    </row>
    <row r="51" spans="1:19" x14ac:dyDescent="0.25">
      <c r="A51" s="58" t="s">
        <v>1918</v>
      </c>
      <c r="B51" s="51" t="s">
        <v>1919</v>
      </c>
      <c r="C51" s="51" t="s">
        <v>1920</v>
      </c>
      <c r="D51" s="51" t="s">
        <v>1921</v>
      </c>
      <c r="E51" s="1">
        <v>16470</v>
      </c>
      <c r="F51" s="1">
        <v>0</v>
      </c>
      <c r="G51" s="1">
        <v>0.13</v>
      </c>
      <c r="H51" s="52">
        <v>0</v>
      </c>
      <c r="I51" s="52">
        <v>2141.1</v>
      </c>
      <c r="J51" s="52">
        <v>18611.099999999999</v>
      </c>
      <c r="K51" s="53">
        <v>0.2</v>
      </c>
      <c r="L51" s="52">
        <f t="shared" si="4"/>
        <v>3722.22</v>
      </c>
      <c r="M51" s="52">
        <f t="shared" si="5"/>
        <v>22333.32</v>
      </c>
      <c r="N51" s="53">
        <v>0.2</v>
      </c>
      <c r="O51" s="52">
        <f t="shared" si="6"/>
        <v>27916.649999999998</v>
      </c>
      <c r="P51" s="1">
        <f t="shared" si="10"/>
        <v>27920</v>
      </c>
    </row>
    <row r="52" spans="1:19" x14ac:dyDescent="0.25">
      <c r="A52" s="58" t="s">
        <v>1922</v>
      </c>
      <c r="B52" s="51" t="s">
        <v>1923</v>
      </c>
      <c r="C52" s="51" t="s">
        <v>1920</v>
      </c>
      <c r="D52" s="51" t="s">
        <v>1924</v>
      </c>
      <c r="E52" s="1">
        <v>3580</v>
      </c>
      <c r="F52" s="1">
        <v>0</v>
      </c>
      <c r="G52" s="1">
        <v>0.13</v>
      </c>
      <c r="H52" s="52">
        <v>0</v>
      </c>
      <c r="I52" s="52">
        <v>465.40000000000003</v>
      </c>
      <c r="J52" s="52">
        <v>4045.4</v>
      </c>
      <c r="K52" s="53">
        <v>0.2</v>
      </c>
      <c r="L52" s="52">
        <f t="shared" si="4"/>
        <v>809.08</v>
      </c>
      <c r="M52" s="52">
        <f t="shared" si="5"/>
        <v>4854.4800000000005</v>
      </c>
      <c r="N52" s="53">
        <v>0.2</v>
      </c>
      <c r="O52" s="52">
        <f t="shared" si="6"/>
        <v>6068.1</v>
      </c>
      <c r="P52" s="1">
        <f t="shared" si="10"/>
        <v>6070</v>
      </c>
    </row>
    <row r="53" spans="1:19" x14ac:dyDescent="0.25">
      <c r="A53" s="58" t="s">
        <v>1925</v>
      </c>
      <c r="B53" s="51" t="s">
        <v>1926</v>
      </c>
      <c r="C53" s="51" t="s">
        <v>1920</v>
      </c>
      <c r="D53" s="51" t="s">
        <v>1927</v>
      </c>
      <c r="E53" s="1">
        <v>3580</v>
      </c>
      <c r="F53" s="1">
        <v>0</v>
      </c>
      <c r="G53" s="1">
        <v>0.13</v>
      </c>
      <c r="H53" s="52">
        <v>0</v>
      </c>
      <c r="I53" s="52">
        <v>465.40000000000003</v>
      </c>
      <c r="J53" s="52">
        <v>4045.4</v>
      </c>
      <c r="K53" s="53">
        <v>0.2</v>
      </c>
      <c r="L53" s="52">
        <f t="shared" si="4"/>
        <v>809.08</v>
      </c>
      <c r="M53" s="52">
        <f t="shared" si="5"/>
        <v>4854.4800000000005</v>
      </c>
      <c r="N53" s="53">
        <v>0.2</v>
      </c>
      <c r="O53" s="52">
        <f t="shared" si="6"/>
        <v>6068.1</v>
      </c>
      <c r="P53" s="1">
        <f t="shared" si="10"/>
        <v>6070</v>
      </c>
    </row>
    <row r="54" spans="1:19" x14ac:dyDescent="0.25">
      <c r="A54" s="58" t="s">
        <v>1928</v>
      </c>
      <c r="B54" s="51" t="s">
        <v>1929</v>
      </c>
      <c r="C54" s="51" t="s">
        <v>1920</v>
      </c>
      <c r="D54" s="51" t="s">
        <v>1930</v>
      </c>
      <c r="E54" s="1">
        <v>5070</v>
      </c>
      <c r="F54" s="1">
        <v>0</v>
      </c>
      <c r="G54" s="1">
        <v>0.13</v>
      </c>
      <c r="H54" s="52">
        <v>0</v>
      </c>
      <c r="I54" s="52">
        <v>659.1</v>
      </c>
      <c r="J54" s="52">
        <v>5729.1</v>
      </c>
      <c r="K54" s="53">
        <v>0.2</v>
      </c>
      <c r="L54" s="52">
        <f t="shared" si="4"/>
        <v>1145.8200000000002</v>
      </c>
      <c r="M54" s="52">
        <f t="shared" si="5"/>
        <v>6874.92</v>
      </c>
      <c r="N54" s="53">
        <v>0.2</v>
      </c>
      <c r="O54" s="52">
        <f t="shared" si="6"/>
        <v>8593.65</v>
      </c>
      <c r="P54" s="1">
        <f t="shared" si="10"/>
        <v>8590</v>
      </c>
    </row>
    <row r="55" spans="1:19" x14ac:dyDescent="0.25">
      <c r="A55" s="58" t="s">
        <v>1931</v>
      </c>
      <c r="B55" s="51" t="s">
        <v>1932</v>
      </c>
      <c r="C55" s="51" t="s">
        <v>1920</v>
      </c>
      <c r="D55" s="51" t="s">
        <v>1933</v>
      </c>
      <c r="E55" s="1">
        <v>2540</v>
      </c>
      <c r="F55" s="1">
        <v>0</v>
      </c>
      <c r="G55" s="1">
        <v>0.13</v>
      </c>
      <c r="H55" s="52">
        <v>0</v>
      </c>
      <c r="I55" s="52">
        <v>330.2</v>
      </c>
      <c r="J55" s="52">
        <v>2870.2</v>
      </c>
      <c r="K55" s="53">
        <v>0.2</v>
      </c>
      <c r="L55" s="52">
        <f t="shared" si="4"/>
        <v>574.04</v>
      </c>
      <c r="M55" s="52">
        <f t="shared" si="5"/>
        <v>3444.24</v>
      </c>
      <c r="N55" s="53">
        <v>0.2</v>
      </c>
      <c r="O55" s="52">
        <f t="shared" si="6"/>
        <v>4305.2999999999993</v>
      </c>
      <c r="P55" s="1">
        <f t="shared" si="10"/>
        <v>4310</v>
      </c>
    </row>
    <row r="56" spans="1:19" x14ac:dyDescent="0.25">
      <c r="A56" s="58" t="s">
        <v>1934</v>
      </c>
      <c r="B56" s="51" t="s">
        <v>1935</v>
      </c>
      <c r="C56" s="51" t="s">
        <v>1920</v>
      </c>
      <c r="D56" s="51" t="s">
        <v>1936</v>
      </c>
      <c r="E56" s="1">
        <v>4320</v>
      </c>
      <c r="F56" s="1">
        <v>0</v>
      </c>
      <c r="G56" s="1">
        <v>0.13</v>
      </c>
      <c r="H56" s="52">
        <v>0</v>
      </c>
      <c r="I56" s="52">
        <v>561.6</v>
      </c>
      <c r="J56" s="52">
        <v>4881.6000000000004</v>
      </c>
      <c r="K56" s="53">
        <v>0.2</v>
      </c>
      <c r="L56" s="52">
        <f t="shared" si="4"/>
        <v>976.32000000000016</v>
      </c>
      <c r="M56" s="52">
        <f t="shared" si="5"/>
        <v>5857.92</v>
      </c>
      <c r="N56" s="53">
        <v>0.2</v>
      </c>
      <c r="O56" s="52">
        <f t="shared" si="6"/>
        <v>7322.4</v>
      </c>
      <c r="P56" s="1">
        <f t="shared" si="10"/>
        <v>7320</v>
      </c>
    </row>
    <row r="57" spans="1:19" x14ac:dyDescent="0.25">
      <c r="A57" s="121" t="s">
        <v>1937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3"/>
    </row>
    <row r="58" spans="1:19" x14ac:dyDescent="0.25">
      <c r="A58" s="58" t="s">
        <v>1938</v>
      </c>
      <c r="B58" s="51" t="s">
        <v>1939</v>
      </c>
      <c r="C58" s="51" t="s">
        <v>1940</v>
      </c>
      <c r="D58" s="51" t="s">
        <v>1861</v>
      </c>
      <c r="E58" s="1">
        <v>2810</v>
      </c>
      <c r="F58" s="1">
        <v>0</v>
      </c>
      <c r="G58" s="1">
        <v>0.13</v>
      </c>
      <c r="H58" s="52">
        <v>0</v>
      </c>
      <c r="I58" s="52">
        <v>365.3</v>
      </c>
      <c r="J58" s="52">
        <v>3175.3</v>
      </c>
      <c r="K58" s="53">
        <v>0.2</v>
      </c>
      <c r="L58" s="52">
        <f t="shared" si="4"/>
        <v>635.06000000000006</v>
      </c>
      <c r="M58" s="52">
        <f t="shared" si="5"/>
        <v>3810.36</v>
      </c>
      <c r="N58" s="53">
        <v>0.2</v>
      </c>
      <c r="O58" s="52">
        <f t="shared" si="6"/>
        <v>4762.95</v>
      </c>
      <c r="P58" s="1">
        <f t="shared" si="10"/>
        <v>4760</v>
      </c>
    </row>
    <row r="59" spans="1:19" x14ac:dyDescent="0.25">
      <c r="A59" s="58" t="s">
        <v>1941</v>
      </c>
      <c r="B59" s="51" t="s">
        <v>1942</v>
      </c>
      <c r="C59" s="51" t="s">
        <v>1940</v>
      </c>
      <c r="D59" s="51" t="s">
        <v>1823</v>
      </c>
      <c r="E59" s="1">
        <v>2360</v>
      </c>
      <c r="F59" s="1">
        <v>0</v>
      </c>
      <c r="G59" s="1">
        <v>0.13</v>
      </c>
      <c r="H59" s="52">
        <v>0</v>
      </c>
      <c r="I59" s="52">
        <v>306.8</v>
      </c>
      <c r="J59" s="52">
        <v>2666.8</v>
      </c>
      <c r="K59" s="53">
        <v>0.2</v>
      </c>
      <c r="L59" s="52">
        <f t="shared" si="4"/>
        <v>533.36</v>
      </c>
      <c r="M59" s="52">
        <f t="shared" si="5"/>
        <v>3200.1600000000003</v>
      </c>
      <c r="N59" s="53">
        <v>0.2</v>
      </c>
      <c r="O59" s="52">
        <f t="shared" si="6"/>
        <v>4000.2000000000003</v>
      </c>
      <c r="P59" s="1">
        <f t="shared" si="10"/>
        <v>4000</v>
      </c>
      <c r="S59" t="s">
        <v>1943</v>
      </c>
    </row>
    <row r="60" spans="1:19" x14ac:dyDescent="0.25">
      <c r="A60" s="58" t="s">
        <v>1944</v>
      </c>
      <c r="B60" s="51" t="s">
        <v>1945</v>
      </c>
      <c r="C60" s="51" t="s">
        <v>1940</v>
      </c>
      <c r="D60" s="51" t="s">
        <v>1946</v>
      </c>
      <c r="E60" s="1">
        <v>2500</v>
      </c>
      <c r="F60" s="1">
        <v>0</v>
      </c>
      <c r="G60" s="1">
        <v>0.13</v>
      </c>
      <c r="H60" s="52">
        <v>0</v>
      </c>
      <c r="I60" s="52">
        <v>325</v>
      </c>
      <c r="J60" s="52">
        <v>2825</v>
      </c>
      <c r="K60" s="53">
        <v>0.2</v>
      </c>
      <c r="L60" s="52">
        <f t="shared" si="4"/>
        <v>565</v>
      </c>
      <c r="M60" s="52">
        <f t="shared" si="5"/>
        <v>3390</v>
      </c>
      <c r="N60" s="53">
        <v>0.2</v>
      </c>
      <c r="O60" s="52">
        <f t="shared" si="6"/>
        <v>4237.5</v>
      </c>
      <c r="P60" s="1">
        <f t="shared" si="10"/>
        <v>4240</v>
      </c>
    </row>
    <row r="61" spans="1:19" x14ac:dyDescent="0.25">
      <c r="A61" s="58" t="s">
        <v>1947</v>
      </c>
      <c r="B61" s="51" t="s">
        <v>1948</v>
      </c>
      <c r="C61" s="51" t="s">
        <v>1940</v>
      </c>
      <c r="D61" s="51" t="s">
        <v>1832</v>
      </c>
      <c r="E61" s="1">
        <v>2370</v>
      </c>
      <c r="F61" s="1">
        <v>0</v>
      </c>
      <c r="G61" s="1">
        <v>0.13</v>
      </c>
      <c r="H61" s="52">
        <v>0</v>
      </c>
      <c r="I61" s="52">
        <v>308.10000000000002</v>
      </c>
      <c r="J61" s="52">
        <v>2678.1</v>
      </c>
      <c r="K61" s="53">
        <v>0.2</v>
      </c>
      <c r="L61" s="52">
        <f t="shared" si="4"/>
        <v>535.62</v>
      </c>
      <c r="M61" s="52">
        <f t="shared" si="5"/>
        <v>3213.72</v>
      </c>
      <c r="N61" s="53">
        <v>0.2</v>
      </c>
      <c r="O61" s="52">
        <f t="shared" si="6"/>
        <v>4017.1499999999996</v>
      </c>
      <c r="P61" s="1">
        <f t="shared" si="10"/>
        <v>4020</v>
      </c>
    </row>
    <row r="62" spans="1:19" x14ac:dyDescent="0.25">
      <c r="A62" s="58" t="s">
        <v>1949</v>
      </c>
      <c r="B62" s="51" t="s">
        <v>1950</v>
      </c>
      <c r="C62" s="51" t="s">
        <v>1951</v>
      </c>
      <c r="D62" s="51" t="s">
        <v>1952</v>
      </c>
      <c r="E62" s="1">
        <v>2730</v>
      </c>
      <c r="F62" s="1">
        <v>0</v>
      </c>
      <c r="G62" s="1">
        <v>0.13</v>
      </c>
      <c r="H62" s="52">
        <v>0</v>
      </c>
      <c r="I62" s="52">
        <v>354.90000000000003</v>
      </c>
      <c r="J62" s="52">
        <v>3084.9</v>
      </c>
      <c r="K62" s="53">
        <v>0.2</v>
      </c>
      <c r="L62" s="52">
        <f t="shared" si="4"/>
        <v>616.98</v>
      </c>
      <c r="M62" s="52">
        <f t="shared" si="5"/>
        <v>3701.88</v>
      </c>
      <c r="N62" s="53">
        <v>0.2</v>
      </c>
      <c r="O62" s="52">
        <f t="shared" si="6"/>
        <v>4627.3499999999995</v>
      </c>
      <c r="P62" s="1">
        <f t="shared" si="10"/>
        <v>4630</v>
      </c>
    </row>
    <row r="63" spans="1:19" x14ac:dyDescent="0.25">
      <c r="A63" s="58" t="s">
        <v>1953</v>
      </c>
      <c r="B63" s="51" t="s">
        <v>1954</v>
      </c>
      <c r="C63" s="51" t="s">
        <v>1951</v>
      </c>
      <c r="D63" s="51" t="s">
        <v>1946</v>
      </c>
      <c r="E63" s="1">
        <v>2290</v>
      </c>
      <c r="F63" s="1">
        <v>0</v>
      </c>
      <c r="G63" s="1">
        <v>0.13</v>
      </c>
      <c r="H63" s="52">
        <v>0</v>
      </c>
      <c r="I63" s="52">
        <v>297.7</v>
      </c>
      <c r="J63" s="52">
        <v>2587.6999999999998</v>
      </c>
      <c r="K63" s="53">
        <v>0.2</v>
      </c>
      <c r="L63" s="52">
        <f t="shared" si="4"/>
        <v>517.54</v>
      </c>
      <c r="M63" s="52">
        <f t="shared" si="5"/>
        <v>3105.24</v>
      </c>
      <c r="N63" s="53">
        <v>0.2</v>
      </c>
      <c r="O63" s="52">
        <f t="shared" si="6"/>
        <v>3881.5499999999997</v>
      </c>
      <c r="P63" s="1">
        <f t="shared" si="10"/>
        <v>3880</v>
      </c>
    </row>
    <row r="64" spans="1:19" x14ac:dyDescent="0.25">
      <c r="A64" s="58" t="s">
        <v>1955</v>
      </c>
      <c r="B64" s="51" t="s">
        <v>1956</v>
      </c>
      <c r="C64" s="51" t="s">
        <v>1940</v>
      </c>
      <c r="D64" s="51"/>
      <c r="E64" s="1">
        <v>1970</v>
      </c>
      <c r="F64" s="1">
        <v>0</v>
      </c>
      <c r="G64" s="1">
        <v>0.13</v>
      </c>
      <c r="H64" s="52">
        <v>0</v>
      </c>
      <c r="I64" s="52">
        <v>256.10000000000002</v>
      </c>
      <c r="J64" s="52">
        <v>2226.1</v>
      </c>
      <c r="K64" s="53">
        <v>0.2</v>
      </c>
      <c r="L64" s="52">
        <f t="shared" si="4"/>
        <v>445.22</v>
      </c>
      <c r="M64" s="52">
        <f t="shared" si="5"/>
        <v>2671.3199999999997</v>
      </c>
      <c r="N64" s="53">
        <v>0.2</v>
      </c>
      <c r="O64" s="52">
        <f t="shared" si="6"/>
        <v>3339.1499999999996</v>
      </c>
      <c r="P64" s="1">
        <f t="shared" si="10"/>
        <v>3340</v>
      </c>
    </row>
    <row r="65" spans="1:16" x14ac:dyDescent="0.25">
      <c r="A65" s="58" t="s">
        <v>1957</v>
      </c>
      <c r="B65" s="51" t="s">
        <v>1958</v>
      </c>
      <c r="C65" s="51" t="s">
        <v>1951</v>
      </c>
      <c r="D65" s="51" t="s">
        <v>1952</v>
      </c>
      <c r="E65" s="1">
        <v>2730</v>
      </c>
      <c r="F65" s="1">
        <v>0</v>
      </c>
      <c r="G65" s="1">
        <v>0.13</v>
      </c>
      <c r="H65" s="52">
        <v>0</v>
      </c>
      <c r="I65" s="52">
        <v>354.90000000000003</v>
      </c>
      <c r="J65" s="52">
        <v>3084.9</v>
      </c>
      <c r="K65" s="53">
        <v>0.2</v>
      </c>
      <c r="L65" s="52">
        <f t="shared" si="4"/>
        <v>616.98</v>
      </c>
      <c r="M65" s="52">
        <f t="shared" si="5"/>
        <v>3701.88</v>
      </c>
      <c r="N65" s="53">
        <v>0.2</v>
      </c>
      <c r="O65" s="52">
        <f t="shared" si="6"/>
        <v>4627.3499999999995</v>
      </c>
      <c r="P65" s="1">
        <f t="shared" si="10"/>
        <v>4630</v>
      </c>
    </row>
    <row r="66" spans="1:16" x14ac:dyDescent="0.25">
      <c r="A66" s="58" t="s">
        <v>1959</v>
      </c>
      <c r="B66" s="51" t="s">
        <v>1960</v>
      </c>
      <c r="C66" s="51" t="s">
        <v>1951</v>
      </c>
      <c r="D66" s="51"/>
      <c r="E66" s="1">
        <v>1990</v>
      </c>
      <c r="F66" s="1">
        <v>0</v>
      </c>
      <c r="G66" s="1">
        <v>0.13</v>
      </c>
      <c r="H66" s="52">
        <v>0</v>
      </c>
      <c r="I66" s="52">
        <v>258.7</v>
      </c>
      <c r="J66" s="52">
        <v>2248.6999999999998</v>
      </c>
      <c r="K66" s="53">
        <v>0.2</v>
      </c>
      <c r="L66" s="52">
        <f t="shared" si="4"/>
        <v>449.74</v>
      </c>
      <c r="M66" s="52">
        <f t="shared" si="5"/>
        <v>2698.4399999999996</v>
      </c>
      <c r="N66" s="53">
        <v>0.2</v>
      </c>
      <c r="O66" s="52">
        <f t="shared" si="6"/>
        <v>3373.0499999999993</v>
      </c>
      <c r="P66" s="1">
        <f t="shared" si="10"/>
        <v>3370</v>
      </c>
    </row>
    <row r="67" spans="1:16" x14ac:dyDescent="0.25">
      <c r="A67" s="121" t="s">
        <v>1961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3"/>
    </row>
    <row r="68" spans="1:16" x14ac:dyDescent="0.25">
      <c r="A68" s="58" t="s">
        <v>1962</v>
      </c>
      <c r="B68" s="51" t="s">
        <v>1963</v>
      </c>
      <c r="C68" s="51" t="s">
        <v>1961</v>
      </c>
      <c r="D68" s="51" t="s">
        <v>1853</v>
      </c>
      <c r="E68" s="1">
        <v>7590</v>
      </c>
      <c r="F68" s="1">
        <v>0</v>
      </c>
      <c r="G68" s="1">
        <v>0.13</v>
      </c>
      <c r="H68" s="52">
        <v>0</v>
      </c>
      <c r="I68" s="52">
        <v>986.7</v>
      </c>
      <c r="J68" s="52">
        <v>8576.7000000000007</v>
      </c>
      <c r="K68" s="53">
        <v>0.2</v>
      </c>
      <c r="L68" s="52">
        <f t="shared" si="4"/>
        <v>1715.3400000000001</v>
      </c>
      <c r="M68" s="52">
        <f t="shared" si="5"/>
        <v>10292.040000000001</v>
      </c>
      <c r="N68" s="53">
        <v>0.2</v>
      </c>
      <c r="O68" s="52">
        <f t="shared" si="6"/>
        <v>12865.050000000001</v>
      </c>
      <c r="P68" s="1">
        <f t="shared" si="10"/>
        <v>12870</v>
      </c>
    </row>
    <row r="69" spans="1:16" x14ac:dyDescent="0.25">
      <c r="A69" s="58" t="s">
        <v>1964</v>
      </c>
      <c r="B69" s="51" t="s">
        <v>1965</v>
      </c>
      <c r="C69" s="51" t="s">
        <v>1961</v>
      </c>
      <c r="D69" s="51" t="s">
        <v>1966</v>
      </c>
      <c r="E69" s="1">
        <v>7570</v>
      </c>
      <c r="F69" s="1">
        <v>0</v>
      </c>
      <c r="G69" s="1">
        <v>0.13</v>
      </c>
      <c r="H69" s="52">
        <v>0</v>
      </c>
      <c r="I69" s="52">
        <v>984.1</v>
      </c>
      <c r="J69" s="52">
        <v>8554.1</v>
      </c>
      <c r="K69" s="53">
        <v>0.2</v>
      </c>
      <c r="L69" s="52">
        <f t="shared" ref="L69:L84" si="11">J69*K69</f>
        <v>1710.8200000000002</v>
      </c>
      <c r="M69" s="52">
        <f t="shared" ref="M69:M84" si="12">J69+L69</f>
        <v>10264.92</v>
      </c>
      <c r="N69" s="53">
        <v>0.2</v>
      </c>
      <c r="O69" s="52">
        <f t="shared" ref="O69:O84" si="13">$M69/(1-N69)</f>
        <v>12831.15</v>
      </c>
      <c r="P69" s="1">
        <f t="shared" si="10"/>
        <v>12830</v>
      </c>
    </row>
    <row r="70" spans="1:16" x14ac:dyDescent="0.25">
      <c r="A70" s="58" t="s">
        <v>1967</v>
      </c>
      <c r="B70" s="51" t="s">
        <v>1968</v>
      </c>
      <c r="C70" s="51" t="s">
        <v>1961</v>
      </c>
      <c r="D70" s="51" t="s">
        <v>1969</v>
      </c>
      <c r="E70" s="1">
        <v>6100</v>
      </c>
      <c r="F70" s="1">
        <v>0</v>
      </c>
      <c r="G70" s="1">
        <v>0.13</v>
      </c>
      <c r="H70" s="52">
        <v>0</v>
      </c>
      <c r="I70" s="52">
        <v>793</v>
      </c>
      <c r="J70" s="52">
        <v>6893</v>
      </c>
      <c r="K70" s="53">
        <v>0.2</v>
      </c>
      <c r="L70" s="52">
        <f t="shared" si="11"/>
        <v>1378.6000000000001</v>
      </c>
      <c r="M70" s="52">
        <f t="shared" si="12"/>
        <v>8271.6</v>
      </c>
      <c r="N70" s="53">
        <v>0.2</v>
      </c>
      <c r="O70" s="52">
        <f t="shared" si="13"/>
        <v>10339.5</v>
      </c>
      <c r="P70" s="1">
        <f t="shared" si="10"/>
        <v>10340</v>
      </c>
    </row>
    <row r="71" spans="1:16" x14ac:dyDescent="0.25">
      <c r="A71" s="58" t="s">
        <v>1970</v>
      </c>
      <c r="B71" s="51" t="s">
        <v>1971</v>
      </c>
      <c r="C71" s="51" t="s">
        <v>1961</v>
      </c>
      <c r="D71" s="51" t="s">
        <v>1972</v>
      </c>
      <c r="E71" s="1">
        <v>4320</v>
      </c>
      <c r="F71" s="1">
        <v>0</v>
      </c>
      <c r="G71" s="1">
        <v>0.13</v>
      </c>
      <c r="H71" s="52">
        <v>0</v>
      </c>
      <c r="I71" s="52">
        <v>561.6</v>
      </c>
      <c r="J71" s="52">
        <v>4881.6000000000004</v>
      </c>
      <c r="K71" s="53">
        <v>0.2</v>
      </c>
      <c r="L71" s="52">
        <f t="shared" si="11"/>
        <v>976.32000000000016</v>
      </c>
      <c r="M71" s="52">
        <f t="shared" si="12"/>
        <v>5857.92</v>
      </c>
      <c r="N71" s="53">
        <v>0.2</v>
      </c>
      <c r="O71" s="52">
        <f>$M71/(1-N71)</f>
        <v>7322.4</v>
      </c>
      <c r="P71" s="1">
        <f t="shared" si="10"/>
        <v>7320</v>
      </c>
    </row>
    <row r="72" spans="1:16" x14ac:dyDescent="0.25">
      <c r="A72" s="58" t="s">
        <v>1973</v>
      </c>
      <c r="B72" s="51" t="s">
        <v>1974</v>
      </c>
      <c r="C72" s="51" t="s">
        <v>1961</v>
      </c>
      <c r="D72" s="51" t="s">
        <v>1832</v>
      </c>
      <c r="E72" s="1">
        <v>2830</v>
      </c>
      <c r="F72" s="1">
        <v>0</v>
      </c>
      <c r="G72" s="1">
        <v>0.13</v>
      </c>
      <c r="H72" s="52">
        <v>0</v>
      </c>
      <c r="I72" s="52">
        <v>367.90000000000003</v>
      </c>
      <c r="J72" s="52">
        <v>3197.9</v>
      </c>
      <c r="K72" s="53">
        <v>0.2</v>
      </c>
      <c r="L72" s="52">
        <f t="shared" si="11"/>
        <v>639.58000000000004</v>
      </c>
      <c r="M72" s="52">
        <f t="shared" si="12"/>
        <v>3837.48</v>
      </c>
      <c r="N72" s="53">
        <v>0.2</v>
      </c>
      <c r="O72" s="52">
        <f t="shared" si="13"/>
        <v>4796.8499999999995</v>
      </c>
      <c r="P72" s="1">
        <f t="shared" si="10"/>
        <v>4800</v>
      </c>
    </row>
    <row r="73" spans="1:16" x14ac:dyDescent="0.25">
      <c r="A73" s="58" t="s">
        <v>1975</v>
      </c>
      <c r="B73" s="51" t="s">
        <v>1976</v>
      </c>
      <c r="C73" s="51" t="s">
        <v>1961</v>
      </c>
      <c r="D73" s="51" t="s">
        <v>1853</v>
      </c>
      <c r="E73" s="1">
        <v>7570</v>
      </c>
      <c r="F73" s="1">
        <v>0</v>
      </c>
      <c r="G73" s="1">
        <v>0.13</v>
      </c>
      <c r="H73" s="52">
        <v>0</v>
      </c>
      <c r="I73" s="52">
        <v>984.1</v>
      </c>
      <c r="J73" s="52">
        <v>8554.1</v>
      </c>
      <c r="K73" s="53">
        <v>0.2</v>
      </c>
      <c r="L73" s="52">
        <f t="shared" si="11"/>
        <v>1710.8200000000002</v>
      </c>
      <c r="M73" s="52">
        <f t="shared" si="12"/>
        <v>10264.92</v>
      </c>
      <c r="N73" s="53">
        <v>0.2</v>
      </c>
      <c r="O73" s="52">
        <f t="shared" si="13"/>
        <v>12831.15</v>
      </c>
      <c r="P73" s="1">
        <f t="shared" si="10"/>
        <v>12830</v>
      </c>
    </row>
    <row r="74" spans="1:16" x14ac:dyDescent="0.25">
      <c r="A74" s="58" t="s">
        <v>1977</v>
      </c>
      <c r="B74" s="51" t="s">
        <v>1978</v>
      </c>
      <c r="C74" s="51" t="s">
        <v>1961</v>
      </c>
      <c r="D74" s="51" t="s">
        <v>1823</v>
      </c>
      <c r="E74" s="1">
        <v>5460</v>
      </c>
      <c r="F74" s="1">
        <v>0</v>
      </c>
      <c r="G74" s="1">
        <v>0.13</v>
      </c>
      <c r="H74" s="52">
        <v>0</v>
      </c>
      <c r="I74" s="52">
        <v>709.80000000000007</v>
      </c>
      <c r="J74" s="52">
        <v>6169.8</v>
      </c>
      <c r="K74" s="53">
        <v>0.2</v>
      </c>
      <c r="L74" s="52">
        <f t="shared" si="11"/>
        <v>1233.96</v>
      </c>
      <c r="M74" s="52">
        <f t="shared" si="12"/>
        <v>7403.76</v>
      </c>
      <c r="N74" s="53">
        <v>0.2</v>
      </c>
      <c r="O74" s="52">
        <f t="shared" si="13"/>
        <v>9254.6999999999989</v>
      </c>
      <c r="P74" s="1">
        <f t="shared" si="10"/>
        <v>9250</v>
      </c>
    </row>
    <row r="75" spans="1:16" x14ac:dyDescent="0.25">
      <c r="A75" s="58" t="s">
        <v>1979</v>
      </c>
      <c r="B75" s="51" t="s">
        <v>1980</v>
      </c>
      <c r="C75" s="51" t="s">
        <v>1961</v>
      </c>
      <c r="D75" s="51" t="s">
        <v>1946</v>
      </c>
      <c r="E75" s="1">
        <v>4260</v>
      </c>
      <c r="F75" s="1">
        <v>0</v>
      </c>
      <c r="G75" s="1">
        <v>0.13</v>
      </c>
      <c r="H75" s="52">
        <v>0</v>
      </c>
      <c r="I75" s="52">
        <v>553.80000000000007</v>
      </c>
      <c r="J75" s="52">
        <v>4813.8</v>
      </c>
      <c r="K75" s="53">
        <v>0.2</v>
      </c>
      <c r="L75" s="52">
        <f t="shared" si="11"/>
        <v>962.7600000000001</v>
      </c>
      <c r="M75" s="52">
        <f t="shared" si="12"/>
        <v>5776.56</v>
      </c>
      <c r="N75" s="53">
        <v>0.2</v>
      </c>
      <c r="O75" s="52">
        <f t="shared" si="13"/>
        <v>7220.7</v>
      </c>
      <c r="P75" s="1">
        <f t="shared" si="10"/>
        <v>7220</v>
      </c>
    </row>
    <row r="76" spans="1:16" x14ac:dyDescent="0.25">
      <c r="A76" s="121" t="s">
        <v>1981</v>
      </c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3"/>
    </row>
    <row r="77" spans="1:16" x14ac:dyDescent="0.25">
      <c r="A77" s="58" t="s">
        <v>1982</v>
      </c>
      <c r="B77" s="51" t="s">
        <v>1983</v>
      </c>
      <c r="C77" s="51" t="s">
        <v>1981</v>
      </c>
      <c r="D77" s="51" t="s">
        <v>1864</v>
      </c>
      <c r="E77" s="1">
        <v>8830</v>
      </c>
      <c r="F77" s="1">
        <v>0</v>
      </c>
      <c r="G77" s="1">
        <v>0.13</v>
      </c>
      <c r="H77" s="52">
        <v>0</v>
      </c>
      <c r="I77" s="52">
        <v>1147.9000000000001</v>
      </c>
      <c r="J77" s="52">
        <v>9977.9</v>
      </c>
      <c r="K77" s="53">
        <v>0.2</v>
      </c>
      <c r="L77" s="52">
        <f t="shared" si="11"/>
        <v>1995.58</v>
      </c>
      <c r="M77" s="52">
        <f t="shared" si="12"/>
        <v>11973.48</v>
      </c>
      <c r="N77" s="53">
        <v>0.2</v>
      </c>
      <c r="O77" s="52">
        <f t="shared" si="13"/>
        <v>14966.849999999999</v>
      </c>
      <c r="P77" s="1">
        <f t="shared" si="10"/>
        <v>14970</v>
      </c>
    </row>
    <row r="78" spans="1:16" x14ac:dyDescent="0.25">
      <c r="A78" s="58" t="s">
        <v>1984</v>
      </c>
      <c r="B78" s="51" t="s">
        <v>1985</v>
      </c>
      <c r="C78" s="51" t="s">
        <v>1981</v>
      </c>
      <c r="D78" s="51" t="s">
        <v>1829</v>
      </c>
      <c r="E78" s="1">
        <v>12050</v>
      </c>
      <c r="F78" s="1">
        <v>0</v>
      </c>
      <c r="G78" s="1">
        <v>0.13</v>
      </c>
      <c r="H78" s="52">
        <v>0</v>
      </c>
      <c r="I78" s="52">
        <v>1566.5</v>
      </c>
      <c r="J78" s="52">
        <v>13616.5</v>
      </c>
      <c r="K78" s="53">
        <v>0.2</v>
      </c>
      <c r="L78" s="52">
        <f t="shared" si="11"/>
        <v>2723.3</v>
      </c>
      <c r="M78" s="52">
        <f t="shared" si="12"/>
        <v>16339.8</v>
      </c>
      <c r="N78" s="53">
        <v>0.2</v>
      </c>
      <c r="O78" s="52">
        <f t="shared" si="13"/>
        <v>20424.749999999996</v>
      </c>
      <c r="P78" s="1">
        <f t="shared" si="10"/>
        <v>20420</v>
      </c>
    </row>
    <row r="79" spans="1:16" x14ac:dyDescent="0.25">
      <c r="A79" s="121" t="s">
        <v>1986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3"/>
    </row>
    <row r="80" spans="1:16" x14ac:dyDescent="0.25">
      <c r="A80" s="58" t="s">
        <v>1987</v>
      </c>
      <c r="B80" s="51" t="s">
        <v>1988</v>
      </c>
      <c r="C80" s="51" t="s">
        <v>1986</v>
      </c>
      <c r="D80" s="51" t="s">
        <v>1823</v>
      </c>
      <c r="E80" s="1">
        <v>2840</v>
      </c>
      <c r="F80" s="1">
        <v>0</v>
      </c>
      <c r="G80" s="1">
        <v>0.13</v>
      </c>
      <c r="H80" s="52">
        <v>0</v>
      </c>
      <c r="I80" s="52">
        <v>369.2</v>
      </c>
      <c r="J80" s="52">
        <v>3209.2</v>
      </c>
      <c r="K80" s="53">
        <v>0.2</v>
      </c>
      <c r="L80" s="52">
        <f t="shared" si="11"/>
        <v>641.84</v>
      </c>
      <c r="M80" s="52">
        <f t="shared" si="12"/>
        <v>3851.04</v>
      </c>
      <c r="N80" s="53">
        <v>0.2</v>
      </c>
      <c r="O80" s="52">
        <f t="shared" si="13"/>
        <v>4813.7999999999993</v>
      </c>
      <c r="P80" s="1">
        <f t="shared" si="10"/>
        <v>4810</v>
      </c>
    </row>
    <row r="81" spans="1:16" x14ac:dyDescent="0.25">
      <c r="A81" s="58" t="s">
        <v>1989</v>
      </c>
      <c r="B81" s="51" t="s">
        <v>1990</v>
      </c>
      <c r="C81" s="51" t="s">
        <v>1986</v>
      </c>
      <c r="D81" s="51" t="s">
        <v>1832</v>
      </c>
      <c r="E81" s="1">
        <v>3190</v>
      </c>
      <c r="F81" s="1">
        <v>0</v>
      </c>
      <c r="G81" s="1">
        <v>0.13</v>
      </c>
      <c r="H81" s="52">
        <v>0</v>
      </c>
      <c r="I81" s="52">
        <v>414.7</v>
      </c>
      <c r="J81" s="52">
        <v>3604.7</v>
      </c>
      <c r="K81" s="53">
        <v>0.2</v>
      </c>
      <c r="L81" s="52">
        <f t="shared" si="11"/>
        <v>720.94</v>
      </c>
      <c r="M81" s="52">
        <f t="shared" si="12"/>
        <v>4325.6399999999994</v>
      </c>
      <c r="N81" s="53">
        <v>0.2</v>
      </c>
      <c r="O81" s="52">
        <f t="shared" si="13"/>
        <v>5407.0499999999993</v>
      </c>
      <c r="P81" s="1">
        <f t="shared" si="10"/>
        <v>5410</v>
      </c>
    </row>
    <row r="82" spans="1:16" x14ac:dyDescent="0.25">
      <c r="A82" s="121" t="s">
        <v>1991</v>
      </c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3"/>
    </row>
    <row r="83" spans="1:16" x14ac:dyDescent="0.25">
      <c r="A83" s="58" t="s">
        <v>1992</v>
      </c>
      <c r="B83" s="51" t="s">
        <v>1993</v>
      </c>
      <c r="C83" s="51" t="s">
        <v>1991</v>
      </c>
      <c r="D83" s="51" t="s">
        <v>1952</v>
      </c>
      <c r="E83" s="1">
        <v>8490</v>
      </c>
      <c r="F83" s="1">
        <v>0</v>
      </c>
      <c r="G83" s="1">
        <v>0.13</v>
      </c>
      <c r="H83" s="52">
        <v>0</v>
      </c>
      <c r="I83" s="52">
        <v>1103.7</v>
      </c>
      <c r="J83" s="52">
        <v>9593.7000000000007</v>
      </c>
      <c r="K83" s="53">
        <v>0.2</v>
      </c>
      <c r="L83" s="52">
        <f t="shared" si="11"/>
        <v>1918.7400000000002</v>
      </c>
      <c r="M83" s="52">
        <f t="shared" si="12"/>
        <v>11512.44</v>
      </c>
      <c r="N83" s="53">
        <v>0.2</v>
      </c>
      <c r="O83" s="52">
        <f t="shared" si="13"/>
        <v>14390.55</v>
      </c>
      <c r="P83" s="1">
        <f t="shared" si="10"/>
        <v>14390</v>
      </c>
    </row>
    <row r="84" spans="1:16" x14ac:dyDescent="0.25">
      <c r="A84" s="58" t="s">
        <v>1994</v>
      </c>
      <c r="B84" s="51" t="s">
        <v>1995</v>
      </c>
      <c r="C84" s="51" t="s">
        <v>1991</v>
      </c>
      <c r="D84" s="51" t="s">
        <v>1858</v>
      </c>
      <c r="E84" s="1">
        <v>9080</v>
      </c>
      <c r="F84" s="1">
        <v>0</v>
      </c>
      <c r="G84" s="1">
        <v>0.13</v>
      </c>
      <c r="H84" s="52">
        <v>0</v>
      </c>
      <c r="I84" s="52">
        <v>1180.4000000000001</v>
      </c>
      <c r="J84" s="52">
        <v>10260.4</v>
      </c>
      <c r="K84" s="53">
        <v>0.2</v>
      </c>
      <c r="L84" s="52">
        <f t="shared" si="11"/>
        <v>2052.08</v>
      </c>
      <c r="M84" s="52">
        <f t="shared" si="12"/>
        <v>12312.48</v>
      </c>
      <c r="N84" s="53">
        <v>0.2</v>
      </c>
      <c r="O84" s="52">
        <f t="shared" si="13"/>
        <v>15390.599999999999</v>
      </c>
      <c r="P84" s="1">
        <f t="shared" si="10"/>
        <v>15390</v>
      </c>
    </row>
  </sheetData>
  <mergeCells count="10">
    <mergeCell ref="A67:P67"/>
    <mergeCell ref="A76:P76"/>
    <mergeCell ref="A79:P79"/>
    <mergeCell ref="A82:P82"/>
    <mergeCell ref="A2:P2"/>
    <mergeCell ref="A9:P9"/>
    <mergeCell ref="A21:P21"/>
    <mergeCell ref="A33:P33"/>
    <mergeCell ref="A49:P49"/>
    <mergeCell ref="A57:P57"/>
  </mergeCells>
  <pageMargins left="0.7" right="0.7" top="0.75" bottom="0.75" header="0.3" footer="0.3"/>
  <pageSetup orientation="portrait" horizontalDpi="0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B1:Q552"/>
  <sheetViews>
    <sheetView topLeftCell="A429" workbookViewId="0">
      <selection activeCell="G272" sqref="G272"/>
    </sheetView>
  </sheetViews>
  <sheetFormatPr defaultRowHeight="15" x14ac:dyDescent="0.25"/>
  <cols>
    <col min="2" max="2" width="44.42578125" bestFit="1" customWidth="1"/>
    <col min="3" max="3" width="13.5703125" bestFit="1" customWidth="1"/>
    <col min="4" max="4" width="30.42578125" bestFit="1" customWidth="1"/>
    <col min="5" max="15" width="0" hidden="1" customWidth="1"/>
    <col min="17" max="17" width="11.140625" bestFit="1" customWidth="1"/>
  </cols>
  <sheetData>
    <row r="1" spans="2:17" ht="60" x14ac:dyDescent="0.25">
      <c r="B1" s="47" t="s">
        <v>1785</v>
      </c>
      <c r="C1" s="48" t="s">
        <v>1786</v>
      </c>
      <c r="D1" s="48" t="s">
        <v>1996</v>
      </c>
      <c r="E1" s="47" t="s">
        <v>1789</v>
      </c>
      <c r="F1" s="47" t="s">
        <v>1790</v>
      </c>
      <c r="G1" s="47" t="s">
        <v>1791</v>
      </c>
      <c r="H1" s="47" t="s">
        <v>1792</v>
      </c>
      <c r="I1" s="47" t="s">
        <v>1793</v>
      </c>
      <c r="J1" s="49" t="s">
        <v>1794</v>
      </c>
      <c r="K1" s="49" t="s">
        <v>1796</v>
      </c>
      <c r="L1" s="49" t="s">
        <v>1796</v>
      </c>
      <c r="M1" s="49" t="s">
        <v>1997</v>
      </c>
      <c r="N1" s="49" t="s">
        <v>1798</v>
      </c>
      <c r="O1" s="49" t="s">
        <v>1998</v>
      </c>
      <c r="P1" s="49" t="s">
        <v>1800</v>
      </c>
      <c r="Q1" s="49" t="s">
        <v>840</v>
      </c>
    </row>
    <row r="2" spans="2:17" x14ac:dyDescent="0.25">
      <c r="B2" s="136" t="s">
        <v>1878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</row>
    <row r="3" spans="2:17" x14ac:dyDescent="0.25">
      <c r="B3" s="138" t="s">
        <v>1999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</row>
    <row r="4" spans="2:17" x14ac:dyDescent="0.25">
      <c r="B4" s="50" t="s">
        <v>2000</v>
      </c>
      <c r="C4" s="51" t="s">
        <v>2001</v>
      </c>
      <c r="D4" s="51" t="s">
        <v>1878</v>
      </c>
      <c r="E4" s="1">
        <v>3240</v>
      </c>
      <c r="F4" s="1">
        <v>0.05</v>
      </c>
      <c r="G4" s="1">
        <v>0.13</v>
      </c>
      <c r="H4" s="1">
        <f t="shared" ref="H4:H27" si="0">F4*E4</f>
        <v>162</v>
      </c>
      <c r="I4" s="52">
        <f t="shared" ref="I4:I27" si="1">G4*(E4+H4)</f>
        <v>442.26</v>
      </c>
      <c r="J4" s="52">
        <f t="shared" ref="J4:J27" si="2">E4+H4+I4</f>
        <v>3844.26</v>
      </c>
      <c r="K4" s="53">
        <v>0.2</v>
      </c>
      <c r="L4" s="52">
        <f t="shared" ref="L4:L67" si="3">J4*K4</f>
        <v>768.85200000000009</v>
      </c>
      <c r="M4" s="52">
        <f t="shared" ref="M4:M67" si="4">J4+L4</f>
        <v>4613.1120000000001</v>
      </c>
      <c r="N4" s="53">
        <v>0.2</v>
      </c>
      <c r="O4" s="52">
        <f t="shared" ref="O4:O27" si="5">$M4/(1-N4)</f>
        <v>5766.3899999999994</v>
      </c>
      <c r="P4" s="1">
        <f t="shared" ref="P4:P27" si="6">MROUND(O4,10)</f>
        <v>5770</v>
      </c>
      <c r="Q4" s="60"/>
    </row>
    <row r="5" spans="2:17" x14ac:dyDescent="0.25">
      <c r="B5" s="50" t="s">
        <v>2002</v>
      </c>
      <c r="C5" s="51" t="s">
        <v>2003</v>
      </c>
      <c r="D5" s="51" t="s">
        <v>1878</v>
      </c>
      <c r="E5" s="1">
        <v>4520</v>
      </c>
      <c r="F5" s="1">
        <v>0.05</v>
      </c>
      <c r="G5" s="1">
        <v>0.13</v>
      </c>
      <c r="H5" s="1">
        <f t="shared" si="0"/>
        <v>226</v>
      </c>
      <c r="I5" s="52">
        <f t="shared" si="1"/>
        <v>616.98</v>
      </c>
      <c r="J5" s="52">
        <f t="shared" si="2"/>
        <v>5362.98</v>
      </c>
      <c r="K5" s="53">
        <v>0.2</v>
      </c>
      <c r="L5" s="52">
        <f t="shared" si="3"/>
        <v>1072.596</v>
      </c>
      <c r="M5" s="52">
        <f t="shared" si="4"/>
        <v>6435.5759999999991</v>
      </c>
      <c r="N5" s="53">
        <v>0.2</v>
      </c>
      <c r="O5" s="52">
        <f t="shared" si="5"/>
        <v>8044.4699999999984</v>
      </c>
      <c r="P5" s="1">
        <f t="shared" si="6"/>
        <v>8040</v>
      </c>
    </row>
    <row r="6" spans="2:17" x14ac:dyDescent="0.25">
      <c r="B6" s="50" t="s">
        <v>2004</v>
      </c>
      <c r="C6" s="51" t="s">
        <v>2005</v>
      </c>
      <c r="D6" s="51" t="s">
        <v>1878</v>
      </c>
      <c r="E6" s="1">
        <v>5460</v>
      </c>
      <c r="F6" s="1">
        <v>0.05</v>
      </c>
      <c r="G6" s="1">
        <v>0.13</v>
      </c>
      <c r="H6" s="1">
        <f t="shared" si="0"/>
        <v>273</v>
      </c>
      <c r="I6" s="52">
        <f t="shared" si="1"/>
        <v>745.29000000000008</v>
      </c>
      <c r="J6" s="52">
        <f t="shared" si="2"/>
        <v>6478.29</v>
      </c>
      <c r="K6" s="53">
        <v>0.2</v>
      </c>
      <c r="L6" s="52">
        <f t="shared" si="3"/>
        <v>1295.6580000000001</v>
      </c>
      <c r="M6" s="52">
        <f t="shared" si="4"/>
        <v>7773.9480000000003</v>
      </c>
      <c r="N6" s="53">
        <v>0.2</v>
      </c>
      <c r="O6" s="52">
        <f t="shared" si="5"/>
        <v>9717.4349999999995</v>
      </c>
      <c r="P6" s="1">
        <f>MROUND(O6,10)</f>
        <v>9720</v>
      </c>
    </row>
    <row r="7" spans="2:17" x14ac:dyDescent="0.25">
      <c r="B7" s="50" t="s">
        <v>2006</v>
      </c>
      <c r="C7" s="51" t="s">
        <v>2007</v>
      </c>
      <c r="D7" s="51" t="s">
        <v>1878</v>
      </c>
      <c r="E7" s="1">
        <v>10600</v>
      </c>
      <c r="F7" s="1">
        <v>0.05</v>
      </c>
      <c r="G7" s="1">
        <v>0.13</v>
      </c>
      <c r="H7" s="1">
        <f t="shared" si="0"/>
        <v>530</v>
      </c>
      <c r="I7" s="52">
        <f t="shared" si="1"/>
        <v>1446.9</v>
      </c>
      <c r="J7" s="52">
        <f t="shared" si="2"/>
        <v>12576.9</v>
      </c>
      <c r="K7" s="53">
        <v>0.2</v>
      </c>
      <c r="L7" s="52">
        <f t="shared" si="3"/>
        <v>2515.38</v>
      </c>
      <c r="M7" s="52">
        <f t="shared" si="4"/>
        <v>15092.279999999999</v>
      </c>
      <c r="N7" s="53">
        <v>0.2</v>
      </c>
      <c r="O7" s="52">
        <f t="shared" si="5"/>
        <v>18865.349999999999</v>
      </c>
      <c r="P7" s="1">
        <f t="shared" si="6"/>
        <v>18870</v>
      </c>
    </row>
    <row r="8" spans="2:17" x14ac:dyDescent="0.25">
      <c r="B8" s="50" t="s">
        <v>2008</v>
      </c>
      <c r="C8" s="51" t="s">
        <v>2009</v>
      </c>
      <c r="D8" s="51" t="s">
        <v>1878</v>
      </c>
      <c r="E8" s="1">
        <v>14170</v>
      </c>
      <c r="F8" s="1">
        <v>0.05</v>
      </c>
      <c r="G8" s="1">
        <v>0.13</v>
      </c>
      <c r="H8" s="1">
        <f t="shared" si="0"/>
        <v>708.5</v>
      </c>
      <c r="I8" s="52">
        <f t="shared" si="1"/>
        <v>1934.2050000000002</v>
      </c>
      <c r="J8" s="52">
        <f t="shared" si="2"/>
        <v>16812.705000000002</v>
      </c>
      <c r="K8" s="53">
        <v>0.2</v>
      </c>
      <c r="L8" s="52">
        <f t="shared" si="3"/>
        <v>3362.5410000000006</v>
      </c>
      <c r="M8" s="52">
        <f t="shared" si="4"/>
        <v>20175.246000000003</v>
      </c>
      <c r="N8" s="53">
        <v>0.2</v>
      </c>
      <c r="O8" s="52">
        <f t="shared" si="5"/>
        <v>25219.057500000003</v>
      </c>
      <c r="P8" s="1">
        <f t="shared" si="6"/>
        <v>25220</v>
      </c>
    </row>
    <row r="9" spans="2:17" x14ac:dyDescent="0.25">
      <c r="B9" s="50" t="s">
        <v>2010</v>
      </c>
      <c r="C9" s="51" t="s">
        <v>2011</v>
      </c>
      <c r="D9" s="51" t="s">
        <v>1878</v>
      </c>
      <c r="E9" s="1">
        <v>9040</v>
      </c>
      <c r="F9" s="1">
        <v>0.05</v>
      </c>
      <c r="G9" s="1">
        <v>0.13</v>
      </c>
      <c r="H9" s="1">
        <f t="shared" si="0"/>
        <v>452</v>
      </c>
      <c r="I9" s="52">
        <f t="shared" si="1"/>
        <v>1233.96</v>
      </c>
      <c r="J9" s="52">
        <f t="shared" si="2"/>
        <v>10725.96</v>
      </c>
      <c r="K9" s="53">
        <v>0.2</v>
      </c>
      <c r="L9" s="52">
        <f t="shared" si="3"/>
        <v>2145.192</v>
      </c>
      <c r="M9" s="52">
        <f t="shared" si="4"/>
        <v>12871.151999999998</v>
      </c>
      <c r="N9" s="53">
        <v>0.2</v>
      </c>
      <c r="O9" s="52">
        <f t="shared" si="5"/>
        <v>16088.939999999997</v>
      </c>
      <c r="P9" s="1">
        <f t="shared" si="6"/>
        <v>16090</v>
      </c>
    </row>
    <row r="10" spans="2:17" x14ac:dyDescent="0.25">
      <c r="B10" s="50" t="s">
        <v>2012</v>
      </c>
      <c r="C10" s="51" t="s">
        <v>2013</v>
      </c>
      <c r="D10" s="51" t="s">
        <v>1878</v>
      </c>
      <c r="E10" s="1">
        <v>4360</v>
      </c>
      <c r="F10" s="1">
        <v>0.05</v>
      </c>
      <c r="G10" s="1">
        <v>0.13</v>
      </c>
      <c r="H10" s="1">
        <f t="shared" si="0"/>
        <v>218</v>
      </c>
      <c r="I10" s="52">
        <f t="shared" si="1"/>
        <v>595.14</v>
      </c>
      <c r="J10" s="52">
        <f t="shared" si="2"/>
        <v>5173.1400000000003</v>
      </c>
      <c r="K10" s="53">
        <v>0.2</v>
      </c>
      <c r="L10" s="52">
        <f t="shared" si="3"/>
        <v>1034.6280000000002</v>
      </c>
      <c r="M10" s="52">
        <f t="shared" si="4"/>
        <v>6207.768</v>
      </c>
      <c r="N10" s="53">
        <v>0.2</v>
      </c>
      <c r="O10" s="52">
        <f t="shared" si="5"/>
        <v>7759.71</v>
      </c>
      <c r="P10" s="1">
        <f t="shared" si="6"/>
        <v>7760</v>
      </c>
    </row>
    <row r="11" spans="2:17" x14ac:dyDescent="0.25">
      <c r="B11" s="50" t="s">
        <v>2014</v>
      </c>
      <c r="C11" s="51" t="s">
        <v>2015</v>
      </c>
      <c r="D11" s="51" t="s">
        <v>1878</v>
      </c>
      <c r="E11" s="1">
        <v>3640</v>
      </c>
      <c r="F11" s="1">
        <v>0.05</v>
      </c>
      <c r="G11" s="1">
        <v>0.13</v>
      </c>
      <c r="H11" s="1">
        <f t="shared" si="0"/>
        <v>182</v>
      </c>
      <c r="I11" s="52">
        <f t="shared" si="1"/>
        <v>496.86</v>
      </c>
      <c r="J11" s="52">
        <f t="shared" si="2"/>
        <v>4318.8599999999997</v>
      </c>
      <c r="K11" s="53">
        <v>0.2</v>
      </c>
      <c r="L11" s="52">
        <f t="shared" si="3"/>
        <v>863.77199999999993</v>
      </c>
      <c r="M11" s="52">
        <f t="shared" si="4"/>
        <v>5182.6319999999996</v>
      </c>
      <c r="N11" s="53">
        <v>0.2</v>
      </c>
      <c r="O11" s="52">
        <f t="shared" si="5"/>
        <v>6478.2899999999991</v>
      </c>
      <c r="P11" s="1">
        <f t="shared" si="6"/>
        <v>6480</v>
      </c>
    </row>
    <row r="12" spans="2:17" x14ac:dyDescent="0.25">
      <c r="B12" s="50" t="s">
        <v>2016</v>
      </c>
      <c r="C12" s="51" t="s">
        <v>2017</v>
      </c>
      <c r="D12" s="51" t="s">
        <v>1878</v>
      </c>
      <c r="E12" s="1">
        <v>6880</v>
      </c>
      <c r="F12" s="1">
        <v>0.05</v>
      </c>
      <c r="G12" s="1">
        <v>0.13</v>
      </c>
      <c r="H12" s="1">
        <f t="shared" si="0"/>
        <v>344</v>
      </c>
      <c r="I12" s="52">
        <f t="shared" si="1"/>
        <v>939.12</v>
      </c>
      <c r="J12" s="52">
        <f t="shared" si="2"/>
        <v>8163.12</v>
      </c>
      <c r="K12" s="53">
        <v>0.2</v>
      </c>
      <c r="L12" s="52">
        <f t="shared" si="3"/>
        <v>1632.624</v>
      </c>
      <c r="M12" s="52">
        <f t="shared" si="4"/>
        <v>9795.7440000000006</v>
      </c>
      <c r="N12" s="53">
        <v>0.2</v>
      </c>
      <c r="O12" s="52">
        <f t="shared" si="5"/>
        <v>12244.68</v>
      </c>
      <c r="P12" s="1">
        <f t="shared" si="6"/>
        <v>12240</v>
      </c>
    </row>
    <row r="13" spans="2:17" x14ac:dyDescent="0.25">
      <c r="B13" s="50" t="s">
        <v>2018</v>
      </c>
      <c r="C13" s="51" t="s">
        <v>2019</v>
      </c>
      <c r="D13" s="51" t="s">
        <v>1878</v>
      </c>
      <c r="E13" s="1">
        <v>8900</v>
      </c>
      <c r="F13" s="1">
        <v>0.05</v>
      </c>
      <c r="G13" s="1">
        <v>0.13</v>
      </c>
      <c r="H13" s="1">
        <f t="shared" si="0"/>
        <v>445</v>
      </c>
      <c r="I13" s="52">
        <f t="shared" si="1"/>
        <v>1214.8500000000001</v>
      </c>
      <c r="J13" s="52">
        <f t="shared" si="2"/>
        <v>10559.85</v>
      </c>
      <c r="K13" s="53">
        <v>0.2</v>
      </c>
      <c r="L13" s="52">
        <f t="shared" si="3"/>
        <v>2111.9700000000003</v>
      </c>
      <c r="M13" s="52">
        <f t="shared" si="4"/>
        <v>12671.82</v>
      </c>
      <c r="N13" s="53">
        <v>0.2</v>
      </c>
      <c r="O13" s="52">
        <f t="shared" si="5"/>
        <v>15839.775</v>
      </c>
      <c r="P13" s="1">
        <f t="shared" si="6"/>
        <v>15840</v>
      </c>
    </row>
    <row r="14" spans="2:17" x14ac:dyDescent="0.25">
      <c r="B14" s="50" t="s">
        <v>2020</v>
      </c>
      <c r="C14" s="51" t="s">
        <v>2021</v>
      </c>
      <c r="D14" s="51" t="s">
        <v>1878</v>
      </c>
      <c r="E14" s="1">
        <v>7040</v>
      </c>
      <c r="F14" s="1">
        <v>0.05</v>
      </c>
      <c r="G14" s="1">
        <v>0.13</v>
      </c>
      <c r="H14" s="1">
        <f t="shared" si="0"/>
        <v>352</v>
      </c>
      <c r="I14" s="52">
        <f t="shared" si="1"/>
        <v>960.96</v>
      </c>
      <c r="J14" s="52">
        <f t="shared" si="2"/>
        <v>8352.9599999999991</v>
      </c>
      <c r="K14" s="53">
        <v>0.2</v>
      </c>
      <c r="L14" s="52">
        <f t="shared" si="3"/>
        <v>1670.5919999999999</v>
      </c>
      <c r="M14" s="52">
        <f t="shared" si="4"/>
        <v>10023.552</v>
      </c>
      <c r="N14" s="53">
        <v>0.2</v>
      </c>
      <c r="O14" s="52">
        <f t="shared" si="5"/>
        <v>12529.439999999999</v>
      </c>
      <c r="P14" s="1">
        <f t="shared" si="6"/>
        <v>12530</v>
      </c>
    </row>
    <row r="15" spans="2:17" x14ac:dyDescent="0.25">
      <c r="B15" s="50" t="s">
        <v>2022</v>
      </c>
      <c r="C15" s="51" t="s">
        <v>2023</v>
      </c>
      <c r="D15" s="51" t="s">
        <v>1878</v>
      </c>
      <c r="E15" s="1">
        <v>9780</v>
      </c>
      <c r="F15" s="1">
        <v>0.05</v>
      </c>
      <c r="G15" s="1">
        <v>0.13</v>
      </c>
      <c r="H15" s="1">
        <f t="shared" si="0"/>
        <v>489</v>
      </c>
      <c r="I15" s="52">
        <f t="shared" si="1"/>
        <v>1334.97</v>
      </c>
      <c r="J15" s="52">
        <f t="shared" si="2"/>
        <v>11603.97</v>
      </c>
      <c r="K15" s="53">
        <v>0.2</v>
      </c>
      <c r="L15" s="52">
        <f t="shared" si="3"/>
        <v>2320.7939999999999</v>
      </c>
      <c r="M15" s="52">
        <f t="shared" si="4"/>
        <v>13924.763999999999</v>
      </c>
      <c r="N15" s="53">
        <v>0.2</v>
      </c>
      <c r="O15" s="52">
        <f t="shared" si="5"/>
        <v>17405.954999999998</v>
      </c>
      <c r="P15" s="1">
        <f t="shared" si="6"/>
        <v>17410</v>
      </c>
    </row>
    <row r="16" spans="2:17" x14ac:dyDescent="0.25">
      <c r="B16" s="50" t="s">
        <v>2024</v>
      </c>
      <c r="C16" s="51" t="s">
        <v>2025</v>
      </c>
      <c r="D16" s="51" t="s">
        <v>1878</v>
      </c>
      <c r="E16" s="1">
        <v>7930</v>
      </c>
      <c r="F16" s="1">
        <v>0.05</v>
      </c>
      <c r="G16" s="1">
        <v>0.13</v>
      </c>
      <c r="H16" s="1">
        <f t="shared" si="0"/>
        <v>396.5</v>
      </c>
      <c r="I16" s="52">
        <f t="shared" si="1"/>
        <v>1082.4449999999999</v>
      </c>
      <c r="J16" s="52">
        <f t="shared" si="2"/>
        <v>9408.9449999999997</v>
      </c>
      <c r="K16" s="53">
        <v>0.2</v>
      </c>
      <c r="L16" s="52">
        <f t="shared" si="3"/>
        <v>1881.789</v>
      </c>
      <c r="M16" s="52">
        <f t="shared" si="4"/>
        <v>11290.734</v>
      </c>
      <c r="N16" s="53">
        <v>0.2</v>
      </c>
      <c r="O16" s="52">
        <f t="shared" si="5"/>
        <v>14113.4175</v>
      </c>
      <c r="P16" s="1">
        <f t="shared" si="6"/>
        <v>14110</v>
      </c>
    </row>
    <row r="17" spans="2:16" x14ac:dyDescent="0.25">
      <c r="B17" s="54" t="s">
        <v>2026</v>
      </c>
      <c r="C17" s="1" t="s">
        <v>2027</v>
      </c>
      <c r="D17" s="1" t="s">
        <v>1878</v>
      </c>
      <c r="E17" s="1">
        <v>6500</v>
      </c>
      <c r="F17" s="1">
        <v>0.05</v>
      </c>
      <c r="G17" s="1">
        <v>0.13</v>
      </c>
      <c r="H17" s="1">
        <f t="shared" si="0"/>
        <v>325</v>
      </c>
      <c r="I17" s="52">
        <f t="shared" si="1"/>
        <v>887.25</v>
      </c>
      <c r="J17" s="52">
        <f t="shared" si="2"/>
        <v>7712.25</v>
      </c>
      <c r="K17" s="53">
        <v>0.15</v>
      </c>
      <c r="L17" s="52">
        <f t="shared" si="3"/>
        <v>1156.8374999999999</v>
      </c>
      <c r="M17" s="52">
        <f t="shared" si="4"/>
        <v>8869.0874999999996</v>
      </c>
      <c r="N17" s="53">
        <v>0.2</v>
      </c>
      <c r="O17" s="52">
        <f t="shared" si="5"/>
        <v>11086.359374999998</v>
      </c>
      <c r="P17" s="1">
        <f t="shared" si="6"/>
        <v>11090</v>
      </c>
    </row>
    <row r="18" spans="2:16" x14ac:dyDescent="0.25">
      <c r="B18" s="50" t="s">
        <v>2000</v>
      </c>
      <c r="C18" s="51" t="s">
        <v>2028</v>
      </c>
      <c r="D18" s="51" t="s">
        <v>1878</v>
      </c>
      <c r="E18" s="1">
        <v>3910</v>
      </c>
      <c r="F18" s="1">
        <v>0.05</v>
      </c>
      <c r="G18" s="1">
        <v>0.13</v>
      </c>
      <c r="H18" s="1">
        <f t="shared" si="0"/>
        <v>195.5</v>
      </c>
      <c r="I18" s="52">
        <f t="shared" si="1"/>
        <v>533.71500000000003</v>
      </c>
      <c r="J18" s="52">
        <f t="shared" si="2"/>
        <v>4639.2150000000001</v>
      </c>
      <c r="K18" s="53">
        <v>0.2</v>
      </c>
      <c r="L18" s="52">
        <f t="shared" si="3"/>
        <v>927.84300000000007</v>
      </c>
      <c r="M18" s="52">
        <f t="shared" si="4"/>
        <v>5567.058</v>
      </c>
      <c r="N18" s="53">
        <v>0.2</v>
      </c>
      <c r="O18" s="52">
        <f t="shared" si="5"/>
        <v>6958.8224999999993</v>
      </c>
      <c r="P18" s="1">
        <f t="shared" si="6"/>
        <v>6960</v>
      </c>
    </row>
    <row r="19" spans="2:16" x14ac:dyDescent="0.25">
      <c r="B19" s="50" t="s">
        <v>2029</v>
      </c>
      <c r="C19" s="51" t="s">
        <v>2030</v>
      </c>
      <c r="D19" s="51" t="s">
        <v>1878</v>
      </c>
      <c r="E19" s="1">
        <v>5530</v>
      </c>
      <c r="F19" s="1">
        <v>0.05</v>
      </c>
      <c r="G19" s="1">
        <v>0.13</v>
      </c>
      <c r="H19" s="1">
        <f t="shared" si="0"/>
        <v>276.5</v>
      </c>
      <c r="I19" s="52">
        <f t="shared" si="1"/>
        <v>754.84500000000003</v>
      </c>
      <c r="J19" s="52">
        <f t="shared" si="2"/>
        <v>6561.3450000000003</v>
      </c>
      <c r="K19" s="53">
        <v>0.2</v>
      </c>
      <c r="L19" s="52">
        <f t="shared" si="3"/>
        <v>1312.2690000000002</v>
      </c>
      <c r="M19" s="52">
        <f t="shared" si="4"/>
        <v>7873.6140000000005</v>
      </c>
      <c r="N19" s="53">
        <v>0.2</v>
      </c>
      <c r="O19" s="52">
        <f t="shared" si="5"/>
        <v>9842.0174999999999</v>
      </c>
      <c r="P19" s="1">
        <f t="shared" si="6"/>
        <v>9840</v>
      </c>
    </row>
    <row r="20" spans="2:16" x14ac:dyDescent="0.25">
      <c r="B20" s="50" t="s">
        <v>2031</v>
      </c>
      <c r="C20" s="51" t="s">
        <v>2032</v>
      </c>
      <c r="D20" s="51" t="s">
        <v>1878</v>
      </c>
      <c r="E20" s="1">
        <v>6660</v>
      </c>
      <c r="F20" s="1">
        <v>0.05</v>
      </c>
      <c r="G20" s="1">
        <v>0.13</v>
      </c>
      <c r="H20" s="1">
        <f t="shared" si="0"/>
        <v>333</v>
      </c>
      <c r="I20" s="52">
        <f t="shared" si="1"/>
        <v>909.09</v>
      </c>
      <c r="J20" s="52">
        <f t="shared" si="2"/>
        <v>7902.09</v>
      </c>
      <c r="K20" s="53">
        <v>0.2</v>
      </c>
      <c r="L20" s="52">
        <f t="shared" si="3"/>
        <v>1580.4180000000001</v>
      </c>
      <c r="M20" s="52">
        <f t="shared" si="4"/>
        <v>9482.5079999999998</v>
      </c>
      <c r="N20" s="53">
        <v>0.2</v>
      </c>
      <c r="O20" s="52">
        <f t="shared" si="5"/>
        <v>11853.134999999998</v>
      </c>
      <c r="P20" s="1">
        <f t="shared" si="6"/>
        <v>11850</v>
      </c>
    </row>
    <row r="21" spans="2:16" x14ac:dyDescent="0.25">
      <c r="B21" s="50" t="s">
        <v>2033</v>
      </c>
      <c r="C21" s="51" t="s">
        <v>2034</v>
      </c>
      <c r="D21" s="51" t="s">
        <v>1878</v>
      </c>
      <c r="E21" s="1">
        <v>12610</v>
      </c>
      <c r="F21" s="1">
        <v>0.05</v>
      </c>
      <c r="G21" s="1">
        <v>0.13</v>
      </c>
      <c r="H21" s="1">
        <f t="shared" si="0"/>
        <v>630.5</v>
      </c>
      <c r="I21" s="52">
        <f t="shared" si="1"/>
        <v>1721.2650000000001</v>
      </c>
      <c r="J21" s="52">
        <f t="shared" si="2"/>
        <v>14961.764999999999</v>
      </c>
      <c r="K21" s="53">
        <v>0.2</v>
      </c>
      <c r="L21" s="52">
        <f t="shared" si="3"/>
        <v>2992.3530000000001</v>
      </c>
      <c r="M21" s="52">
        <f t="shared" si="4"/>
        <v>17954.117999999999</v>
      </c>
      <c r="N21" s="53">
        <v>0.2</v>
      </c>
      <c r="O21" s="52">
        <f t="shared" si="5"/>
        <v>22442.647499999995</v>
      </c>
      <c r="P21" s="1">
        <f t="shared" si="6"/>
        <v>22440</v>
      </c>
    </row>
    <row r="22" spans="2:16" x14ac:dyDescent="0.25">
      <c r="B22" s="50" t="s">
        <v>2035</v>
      </c>
      <c r="C22" s="51" t="s">
        <v>2036</v>
      </c>
      <c r="D22" s="51" t="s">
        <v>1878</v>
      </c>
      <c r="E22" s="1">
        <v>10790</v>
      </c>
      <c r="F22" s="1">
        <v>0.05</v>
      </c>
      <c r="G22" s="1">
        <v>0.13</v>
      </c>
      <c r="H22" s="1">
        <f t="shared" si="0"/>
        <v>539.5</v>
      </c>
      <c r="I22" s="52">
        <f t="shared" si="1"/>
        <v>1472.835</v>
      </c>
      <c r="J22" s="52">
        <f t="shared" si="2"/>
        <v>12802.334999999999</v>
      </c>
      <c r="K22" s="53">
        <v>0.2</v>
      </c>
      <c r="L22" s="52">
        <f t="shared" si="3"/>
        <v>2560.4670000000001</v>
      </c>
      <c r="M22" s="52">
        <f t="shared" si="4"/>
        <v>15362.802</v>
      </c>
      <c r="N22" s="53">
        <v>0.2</v>
      </c>
      <c r="O22" s="52">
        <f t="shared" si="5"/>
        <v>19203.502499999999</v>
      </c>
      <c r="P22" s="1">
        <f t="shared" si="6"/>
        <v>19200</v>
      </c>
    </row>
    <row r="23" spans="2:16" x14ac:dyDescent="0.25">
      <c r="B23" s="50" t="s">
        <v>2037</v>
      </c>
      <c r="C23" s="51" t="s">
        <v>2038</v>
      </c>
      <c r="D23" s="51" t="s">
        <v>1878</v>
      </c>
      <c r="E23" s="1">
        <v>5700</v>
      </c>
      <c r="F23" s="1">
        <v>0.05</v>
      </c>
      <c r="G23" s="1">
        <v>0.13</v>
      </c>
      <c r="H23" s="1">
        <f t="shared" si="0"/>
        <v>285</v>
      </c>
      <c r="I23" s="52">
        <f t="shared" si="1"/>
        <v>778.05000000000007</v>
      </c>
      <c r="J23" s="52">
        <f t="shared" si="2"/>
        <v>6763.05</v>
      </c>
      <c r="K23" s="53">
        <v>0.2</v>
      </c>
      <c r="L23" s="52">
        <f t="shared" si="3"/>
        <v>1352.6100000000001</v>
      </c>
      <c r="M23" s="52">
        <f t="shared" si="4"/>
        <v>8115.66</v>
      </c>
      <c r="N23" s="53">
        <v>0.2</v>
      </c>
      <c r="O23" s="52">
        <f t="shared" si="5"/>
        <v>10144.574999999999</v>
      </c>
      <c r="P23" s="1">
        <f t="shared" si="6"/>
        <v>10140</v>
      </c>
    </row>
    <row r="24" spans="2:16" x14ac:dyDescent="0.25">
      <c r="B24" s="50" t="s">
        <v>2039</v>
      </c>
      <c r="C24" s="51" t="s">
        <v>2040</v>
      </c>
      <c r="D24" s="51" t="s">
        <v>1878</v>
      </c>
      <c r="E24" s="1">
        <v>4250</v>
      </c>
      <c r="F24" s="1">
        <v>0.05</v>
      </c>
      <c r="G24" s="1">
        <v>0.13</v>
      </c>
      <c r="H24" s="1">
        <f t="shared" si="0"/>
        <v>212.5</v>
      </c>
      <c r="I24" s="52">
        <f t="shared" si="1"/>
        <v>580.125</v>
      </c>
      <c r="J24" s="52">
        <f t="shared" si="2"/>
        <v>5042.625</v>
      </c>
      <c r="K24" s="53">
        <v>0.2</v>
      </c>
      <c r="L24" s="52">
        <f t="shared" si="3"/>
        <v>1008.5250000000001</v>
      </c>
      <c r="M24" s="52">
        <f t="shared" si="4"/>
        <v>6051.15</v>
      </c>
      <c r="N24" s="53">
        <v>0.2</v>
      </c>
      <c r="O24" s="52">
        <f t="shared" si="5"/>
        <v>7563.9374999999991</v>
      </c>
      <c r="P24" s="1">
        <f t="shared" si="6"/>
        <v>7560</v>
      </c>
    </row>
    <row r="25" spans="2:16" x14ac:dyDescent="0.25">
      <c r="B25" s="50" t="s">
        <v>2041</v>
      </c>
      <c r="C25" s="51" t="s">
        <v>2042</v>
      </c>
      <c r="D25" s="51" t="s">
        <v>1878</v>
      </c>
      <c r="E25" s="1">
        <v>7280</v>
      </c>
      <c r="F25" s="1">
        <v>0.05</v>
      </c>
      <c r="G25" s="1">
        <v>0.13</v>
      </c>
      <c r="H25" s="1">
        <f t="shared" si="0"/>
        <v>364</v>
      </c>
      <c r="I25" s="52">
        <f t="shared" si="1"/>
        <v>993.72</v>
      </c>
      <c r="J25" s="52">
        <f t="shared" si="2"/>
        <v>8637.7199999999993</v>
      </c>
      <c r="K25" s="53">
        <v>0.2</v>
      </c>
      <c r="L25" s="52">
        <f t="shared" si="3"/>
        <v>1727.5439999999999</v>
      </c>
      <c r="M25" s="52">
        <f t="shared" si="4"/>
        <v>10365.263999999999</v>
      </c>
      <c r="N25" s="53">
        <v>0.2</v>
      </c>
      <c r="O25" s="52">
        <f t="shared" si="5"/>
        <v>12956.579999999998</v>
      </c>
      <c r="P25" s="1">
        <f t="shared" si="6"/>
        <v>12960</v>
      </c>
    </row>
    <row r="26" spans="2:16" x14ac:dyDescent="0.25">
      <c r="B26" s="50" t="s">
        <v>2043</v>
      </c>
      <c r="C26" s="51" t="s">
        <v>2044</v>
      </c>
      <c r="D26" s="51" t="s">
        <v>1878</v>
      </c>
      <c r="E26" s="1">
        <v>3780</v>
      </c>
      <c r="F26" s="1">
        <v>0.05</v>
      </c>
      <c r="G26" s="1">
        <v>0.13</v>
      </c>
      <c r="H26" s="1">
        <f t="shared" si="0"/>
        <v>189</v>
      </c>
      <c r="I26" s="52">
        <f t="shared" si="1"/>
        <v>515.97</v>
      </c>
      <c r="J26" s="52">
        <f t="shared" si="2"/>
        <v>4484.97</v>
      </c>
      <c r="K26" s="53">
        <v>0.2</v>
      </c>
      <c r="L26" s="52">
        <f t="shared" si="3"/>
        <v>896.99400000000014</v>
      </c>
      <c r="M26" s="52">
        <f t="shared" si="4"/>
        <v>5381.9639999999999</v>
      </c>
      <c r="N26" s="53">
        <v>0.2</v>
      </c>
      <c r="O26" s="52">
        <f t="shared" si="5"/>
        <v>6727.4549999999999</v>
      </c>
      <c r="P26" s="1">
        <f t="shared" si="6"/>
        <v>6730</v>
      </c>
    </row>
    <row r="27" spans="2:16" x14ac:dyDescent="0.25">
      <c r="B27" s="50" t="s">
        <v>2045</v>
      </c>
      <c r="C27" s="51" t="s">
        <v>2046</v>
      </c>
      <c r="D27" s="51" t="s">
        <v>1878</v>
      </c>
      <c r="E27" s="1">
        <v>4420</v>
      </c>
      <c r="F27" s="1">
        <v>0.05</v>
      </c>
      <c r="G27" s="1">
        <v>0.13</v>
      </c>
      <c r="H27" s="1">
        <f t="shared" si="0"/>
        <v>221</v>
      </c>
      <c r="I27" s="52">
        <f t="shared" si="1"/>
        <v>603.33000000000004</v>
      </c>
      <c r="J27" s="52">
        <f t="shared" si="2"/>
        <v>5244.33</v>
      </c>
      <c r="K27" s="53">
        <v>0.2</v>
      </c>
      <c r="L27" s="52">
        <f t="shared" si="3"/>
        <v>1048.866</v>
      </c>
      <c r="M27" s="52">
        <f t="shared" si="4"/>
        <v>6293.1959999999999</v>
      </c>
      <c r="N27" s="53">
        <v>0.2</v>
      </c>
      <c r="O27" s="52">
        <f t="shared" si="5"/>
        <v>7866.4949999999999</v>
      </c>
      <c r="P27" s="1">
        <f t="shared" si="6"/>
        <v>7870</v>
      </c>
    </row>
    <row r="28" spans="2:16" x14ac:dyDescent="0.25">
      <c r="B28" s="133" t="s">
        <v>2047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5"/>
    </row>
    <row r="29" spans="2:16" x14ac:dyDescent="0.25">
      <c r="B29" s="50" t="s">
        <v>2048</v>
      </c>
      <c r="C29" s="51" t="s">
        <v>2049</v>
      </c>
      <c r="D29" s="51" t="s">
        <v>1878</v>
      </c>
      <c r="E29" s="1">
        <v>3810</v>
      </c>
      <c r="F29" s="1">
        <v>0.05</v>
      </c>
      <c r="G29" s="1">
        <v>0.13</v>
      </c>
      <c r="H29" s="1">
        <f t="shared" ref="H29:H55" si="7">F29*E29</f>
        <v>190.5</v>
      </c>
      <c r="I29" s="52">
        <f t="shared" ref="I29:I55" si="8">G29*(E29+H29)</f>
        <v>520.06500000000005</v>
      </c>
      <c r="J29" s="52">
        <f t="shared" ref="J29:J55" si="9">E29+H29+I29</f>
        <v>4520.5650000000005</v>
      </c>
      <c r="K29" s="53">
        <v>0.2</v>
      </c>
      <c r="L29" s="52">
        <f t="shared" si="3"/>
        <v>904.11300000000017</v>
      </c>
      <c r="M29" s="52">
        <f t="shared" si="4"/>
        <v>5424.6780000000008</v>
      </c>
      <c r="N29" s="53">
        <v>0.2</v>
      </c>
      <c r="O29" s="52">
        <f t="shared" ref="O29:O55" si="10">$M29/(1-N29)</f>
        <v>6780.8475000000008</v>
      </c>
      <c r="P29" s="1">
        <f t="shared" ref="P29:P55" si="11">MROUND(O29,10)</f>
        <v>6780</v>
      </c>
    </row>
    <row r="30" spans="2:16" x14ac:dyDescent="0.25">
      <c r="B30" s="50" t="s">
        <v>2050</v>
      </c>
      <c r="C30" s="51" t="s">
        <v>2051</v>
      </c>
      <c r="D30" s="51" t="s">
        <v>1878</v>
      </c>
      <c r="E30" s="1">
        <v>5400</v>
      </c>
      <c r="F30" s="1">
        <v>0.05</v>
      </c>
      <c r="G30" s="1">
        <v>0.13</v>
      </c>
      <c r="H30" s="1">
        <f t="shared" si="7"/>
        <v>270</v>
      </c>
      <c r="I30" s="52">
        <f t="shared" si="8"/>
        <v>737.1</v>
      </c>
      <c r="J30" s="52">
        <f t="shared" si="9"/>
        <v>6407.1</v>
      </c>
      <c r="K30" s="53">
        <v>0.2</v>
      </c>
      <c r="L30" s="52">
        <f t="shared" si="3"/>
        <v>1281.42</v>
      </c>
      <c r="M30" s="52">
        <f t="shared" si="4"/>
        <v>7688.52</v>
      </c>
      <c r="N30" s="53">
        <v>0.2</v>
      </c>
      <c r="O30" s="52">
        <f t="shared" si="10"/>
        <v>9610.65</v>
      </c>
      <c r="P30" s="1">
        <f t="shared" si="11"/>
        <v>9610</v>
      </c>
    </row>
    <row r="31" spans="2:16" x14ac:dyDescent="0.25">
      <c r="B31" s="50" t="s">
        <v>2052</v>
      </c>
      <c r="C31" s="51" t="s">
        <v>2053</v>
      </c>
      <c r="D31" s="51" t="s">
        <v>1878</v>
      </c>
      <c r="E31" s="1">
        <v>6670</v>
      </c>
      <c r="F31" s="1">
        <v>0.05</v>
      </c>
      <c r="G31" s="1">
        <v>0.13</v>
      </c>
      <c r="H31" s="1">
        <f t="shared" si="7"/>
        <v>333.5</v>
      </c>
      <c r="I31" s="52">
        <f t="shared" si="8"/>
        <v>910.45500000000004</v>
      </c>
      <c r="J31" s="52">
        <f t="shared" si="9"/>
        <v>7913.9549999999999</v>
      </c>
      <c r="K31" s="53">
        <v>0.2</v>
      </c>
      <c r="L31" s="52">
        <f t="shared" si="3"/>
        <v>1582.7910000000002</v>
      </c>
      <c r="M31" s="52">
        <f t="shared" si="4"/>
        <v>9496.7459999999992</v>
      </c>
      <c r="N31" s="53">
        <v>0.2</v>
      </c>
      <c r="O31" s="52">
        <f t="shared" si="10"/>
        <v>11870.932499999999</v>
      </c>
      <c r="P31" s="1">
        <f t="shared" si="11"/>
        <v>11870</v>
      </c>
    </row>
    <row r="32" spans="2:16" x14ac:dyDescent="0.25">
      <c r="B32" s="50" t="s">
        <v>2054</v>
      </c>
      <c r="C32" s="51" t="s">
        <v>2055</v>
      </c>
      <c r="D32" s="51" t="s">
        <v>1878</v>
      </c>
      <c r="E32" s="1">
        <v>13640</v>
      </c>
      <c r="F32" s="1">
        <v>0.05</v>
      </c>
      <c r="G32" s="1">
        <v>0.13</v>
      </c>
      <c r="H32" s="1">
        <f t="shared" si="7"/>
        <v>682</v>
      </c>
      <c r="I32" s="52">
        <f t="shared" si="8"/>
        <v>1861.8600000000001</v>
      </c>
      <c r="J32" s="52">
        <f t="shared" si="9"/>
        <v>16183.86</v>
      </c>
      <c r="K32" s="53">
        <v>0.2</v>
      </c>
      <c r="L32" s="52">
        <f t="shared" si="3"/>
        <v>3236.7720000000004</v>
      </c>
      <c r="M32" s="52">
        <f t="shared" si="4"/>
        <v>19420.632000000001</v>
      </c>
      <c r="N32" s="53">
        <v>0.2</v>
      </c>
      <c r="O32" s="52">
        <f t="shared" si="10"/>
        <v>24275.79</v>
      </c>
      <c r="P32" s="1">
        <f t="shared" si="11"/>
        <v>24280</v>
      </c>
    </row>
    <row r="33" spans="2:16" x14ac:dyDescent="0.25">
      <c r="B33" s="50" t="s">
        <v>2056</v>
      </c>
      <c r="C33" s="51" t="s">
        <v>2057</v>
      </c>
      <c r="D33" s="51" t="s">
        <v>1878</v>
      </c>
      <c r="E33" s="1">
        <v>17130</v>
      </c>
      <c r="F33" s="1">
        <v>0.05</v>
      </c>
      <c r="G33" s="1">
        <v>0.13</v>
      </c>
      <c r="H33" s="1">
        <f t="shared" si="7"/>
        <v>856.5</v>
      </c>
      <c r="I33" s="52">
        <f t="shared" si="8"/>
        <v>2338.2449999999999</v>
      </c>
      <c r="J33" s="52">
        <f t="shared" si="9"/>
        <v>20324.744999999999</v>
      </c>
      <c r="K33" s="53">
        <v>0.2</v>
      </c>
      <c r="L33" s="52">
        <f t="shared" si="3"/>
        <v>4064.9490000000001</v>
      </c>
      <c r="M33" s="52">
        <f t="shared" si="4"/>
        <v>24389.694</v>
      </c>
      <c r="N33" s="53">
        <v>0.2</v>
      </c>
      <c r="O33" s="52">
        <f t="shared" si="10"/>
        <v>30487.117499999997</v>
      </c>
      <c r="P33" s="1">
        <f t="shared" si="11"/>
        <v>30490</v>
      </c>
    </row>
    <row r="34" spans="2:16" x14ac:dyDescent="0.25">
      <c r="B34" s="50" t="s">
        <v>2058</v>
      </c>
      <c r="C34" s="51" t="s">
        <v>2059</v>
      </c>
      <c r="D34" s="51" t="s">
        <v>1878</v>
      </c>
      <c r="E34" s="1">
        <v>12750</v>
      </c>
      <c r="F34" s="1">
        <v>0.05</v>
      </c>
      <c r="G34" s="1">
        <v>0.13</v>
      </c>
      <c r="H34" s="1">
        <f t="shared" si="7"/>
        <v>637.5</v>
      </c>
      <c r="I34" s="52">
        <f t="shared" si="8"/>
        <v>1740.375</v>
      </c>
      <c r="J34" s="52">
        <f t="shared" si="9"/>
        <v>15127.875</v>
      </c>
      <c r="K34" s="53">
        <v>0.2</v>
      </c>
      <c r="L34" s="52">
        <f t="shared" si="3"/>
        <v>3025.5750000000003</v>
      </c>
      <c r="M34" s="52">
        <f t="shared" si="4"/>
        <v>18153.45</v>
      </c>
      <c r="N34" s="53">
        <v>0.2</v>
      </c>
      <c r="O34" s="52">
        <f t="shared" si="10"/>
        <v>22691.8125</v>
      </c>
      <c r="P34" s="1">
        <f t="shared" si="11"/>
        <v>22690</v>
      </c>
    </row>
    <row r="35" spans="2:16" x14ac:dyDescent="0.25">
      <c r="B35" s="50" t="s">
        <v>2060</v>
      </c>
      <c r="C35" s="51" t="s">
        <v>2061</v>
      </c>
      <c r="D35" s="51" t="s">
        <v>1878</v>
      </c>
      <c r="E35" s="1">
        <v>5400</v>
      </c>
      <c r="F35" s="1">
        <v>0.05</v>
      </c>
      <c r="G35" s="1">
        <v>0.13</v>
      </c>
      <c r="H35" s="1">
        <f t="shared" si="7"/>
        <v>270</v>
      </c>
      <c r="I35" s="52">
        <f t="shared" si="8"/>
        <v>737.1</v>
      </c>
      <c r="J35" s="52">
        <f t="shared" si="9"/>
        <v>6407.1</v>
      </c>
      <c r="K35" s="53">
        <v>0.2</v>
      </c>
      <c r="L35" s="52">
        <f t="shared" si="3"/>
        <v>1281.42</v>
      </c>
      <c r="M35" s="52">
        <f t="shared" si="4"/>
        <v>7688.52</v>
      </c>
      <c r="N35" s="53">
        <v>0.2</v>
      </c>
      <c r="O35" s="52">
        <f t="shared" si="10"/>
        <v>9610.65</v>
      </c>
      <c r="P35" s="1">
        <f t="shared" si="11"/>
        <v>9610</v>
      </c>
    </row>
    <row r="36" spans="2:16" x14ac:dyDescent="0.25">
      <c r="B36" s="50" t="s">
        <v>2062</v>
      </c>
      <c r="C36" s="51" t="s">
        <v>2063</v>
      </c>
      <c r="D36" s="51" t="s">
        <v>1878</v>
      </c>
      <c r="E36" s="1">
        <v>4450</v>
      </c>
      <c r="F36" s="1">
        <v>0.05</v>
      </c>
      <c r="G36" s="1">
        <v>0.13</v>
      </c>
      <c r="H36" s="1">
        <f t="shared" si="7"/>
        <v>222.5</v>
      </c>
      <c r="I36" s="52">
        <f t="shared" si="8"/>
        <v>607.42500000000007</v>
      </c>
      <c r="J36" s="52">
        <f t="shared" si="9"/>
        <v>5279.9250000000002</v>
      </c>
      <c r="K36" s="53">
        <v>0.2</v>
      </c>
      <c r="L36" s="52">
        <f t="shared" si="3"/>
        <v>1055.9850000000001</v>
      </c>
      <c r="M36" s="52">
        <f t="shared" si="4"/>
        <v>6335.91</v>
      </c>
      <c r="N36" s="53">
        <v>0.2</v>
      </c>
      <c r="O36" s="52">
        <f t="shared" si="10"/>
        <v>7919.8874999999998</v>
      </c>
      <c r="P36" s="1">
        <f t="shared" si="11"/>
        <v>7920</v>
      </c>
    </row>
    <row r="37" spans="2:16" x14ac:dyDescent="0.25">
      <c r="B37" s="50" t="s">
        <v>2064</v>
      </c>
      <c r="C37" s="51" t="s">
        <v>2065</v>
      </c>
      <c r="D37" s="51" t="s">
        <v>1878</v>
      </c>
      <c r="E37" s="1">
        <v>5820</v>
      </c>
      <c r="F37" s="1">
        <v>0.05</v>
      </c>
      <c r="G37" s="1">
        <v>0.13</v>
      </c>
      <c r="H37" s="1">
        <f t="shared" si="7"/>
        <v>291</v>
      </c>
      <c r="I37" s="52">
        <f t="shared" si="8"/>
        <v>794.43000000000006</v>
      </c>
      <c r="J37" s="52">
        <f t="shared" si="9"/>
        <v>6905.43</v>
      </c>
      <c r="K37" s="53">
        <v>0.2</v>
      </c>
      <c r="L37" s="52">
        <f t="shared" si="3"/>
        <v>1381.0860000000002</v>
      </c>
      <c r="M37" s="52">
        <f t="shared" si="4"/>
        <v>8286.5159999999996</v>
      </c>
      <c r="N37" s="53">
        <v>0.2</v>
      </c>
      <c r="O37" s="52">
        <f t="shared" si="10"/>
        <v>10358.144999999999</v>
      </c>
      <c r="P37" s="1">
        <f t="shared" si="11"/>
        <v>10360</v>
      </c>
    </row>
    <row r="38" spans="2:16" x14ac:dyDescent="0.25">
      <c r="B38" s="50" t="s">
        <v>2066</v>
      </c>
      <c r="C38" s="51" t="s">
        <v>2067</v>
      </c>
      <c r="D38" s="51" t="s">
        <v>1878</v>
      </c>
      <c r="E38" s="1">
        <v>8570</v>
      </c>
      <c r="F38" s="1">
        <v>0.05</v>
      </c>
      <c r="G38" s="1">
        <v>0.13</v>
      </c>
      <c r="H38" s="1">
        <f t="shared" si="7"/>
        <v>428.5</v>
      </c>
      <c r="I38" s="52">
        <f t="shared" si="8"/>
        <v>1169.8050000000001</v>
      </c>
      <c r="J38" s="52">
        <f t="shared" si="9"/>
        <v>10168.305</v>
      </c>
      <c r="K38" s="53">
        <v>0.2</v>
      </c>
      <c r="L38" s="52">
        <f t="shared" si="3"/>
        <v>2033.6610000000001</v>
      </c>
      <c r="M38" s="52">
        <f t="shared" si="4"/>
        <v>12201.966</v>
      </c>
      <c r="N38" s="53">
        <v>0.2</v>
      </c>
      <c r="O38" s="52">
        <f t="shared" si="10"/>
        <v>15252.4575</v>
      </c>
      <c r="P38" s="1">
        <f t="shared" si="11"/>
        <v>15250</v>
      </c>
    </row>
    <row r="39" spans="2:16" x14ac:dyDescent="0.25">
      <c r="B39" s="50" t="s">
        <v>2068</v>
      </c>
      <c r="C39" s="51" t="s">
        <v>2069</v>
      </c>
      <c r="D39" s="51" t="s">
        <v>1878</v>
      </c>
      <c r="E39" s="1">
        <v>9840</v>
      </c>
      <c r="F39" s="1">
        <v>0.05</v>
      </c>
      <c r="G39" s="1">
        <v>0.13</v>
      </c>
      <c r="H39" s="1">
        <f t="shared" si="7"/>
        <v>492</v>
      </c>
      <c r="I39" s="52">
        <f t="shared" si="8"/>
        <v>1343.16</v>
      </c>
      <c r="J39" s="52">
        <f t="shared" si="9"/>
        <v>11675.16</v>
      </c>
      <c r="K39" s="53">
        <v>0.2</v>
      </c>
      <c r="L39" s="52">
        <f t="shared" si="3"/>
        <v>2335.0320000000002</v>
      </c>
      <c r="M39" s="52">
        <f t="shared" si="4"/>
        <v>14010.191999999999</v>
      </c>
      <c r="N39" s="53">
        <v>0.2</v>
      </c>
      <c r="O39" s="52">
        <f t="shared" si="10"/>
        <v>17512.739999999998</v>
      </c>
      <c r="P39" s="1">
        <f t="shared" si="11"/>
        <v>17510</v>
      </c>
    </row>
    <row r="40" spans="2:16" x14ac:dyDescent="0.25">
      <c r="B40" s="50" t="s">
        <v>2070</v>
      </c>
      <c r="C40" s="51" t="s">
        <v>2071</v>
      </c>
      <c r="D40" s="51" t="s">
        <v>1878</v>
      </c>
      <c r="E40" s="1">
        <v>9840</v>
      </c>
      <c r="F40" s="1">
        <v>0.05</v>
      </c>
      <c r="G40" s="1">
        <v>0.13</v>
      </c>
      <c r="H40" s="1">
        <f t="shared" si="7"/>
        <v>492</v>
      </c>
      <c r="I40" s="52">
        <f t="shared" si="8"/>
        <v>1343.16</v>
      </c>
      <c r="J40" s="52">
        <f t="shared" si="9"/>
        <v>11675.16</v>
      </c>
      <c r="K40" s="53">
        <v>0.2</v>
      </c>
      <c r="L40" s="52">
        <f t="shared" si="3"/>
        <v>2335.0320000000002</v>
      </c>
      <c r="M40" s="52">
        <f t="shared" si="4"/>
        <v>14010.191999999999</v>
      </c>
      <c r="N40" s="53">
        <v>0.2</v>
      </c>
      <c r="O40" s="52">
        <f t="shared" si="10"/>
        <v>17512.739999999998</v>
      </c>
      <c r="P40" s="1">
        <f t="shared" si="11"/>
        <v>17510</v>
      </c>
    </row>
    <row r="41" spans="2:16" x14ac:dyDescent="0.25">
      <c r="B41" s="50" t="s">
        <v>2072</v>
      </c>
      <c r="C41" s="51" t="s">
        <v>2073</v>
      </c>
      <c r="D41" s="51" t="s">
        <v>1878</v>
      </c>
      <c r="E41" s="1">
        <v>11740</v>
      </c>
      <c r="F41" s="1">
        <v>0.05</v>
      </c>
      <c r="G41" s="1">
        <v>0.13</v>
      </c>
      <c r="H41" s="1">
        <f t="shared" si="7"/>
        <v>587</v>
      </c>
      <c r="I41" s="52">
        <f t="shared" si="8"/>
        <v>1602.51</v>
      </c>
      <c r="J41" s="52">
        <f t="shared" si="9"/>
        <v>13929.51</v>
      </c>
      <c r="K41" s="53">
        <v>0.2</v>
      </c>
      <c r="L41" s="52">
        <f t="shared" si="3"/>
        <v>2785.902</v>
      </c>
      <c r="M41" s="52">
        <f t="shared" si="4"/>
        <v>16715.412</v>
      </c>
      <c r="N41" s="53">
        <v>0.2</v>
      </c>
      <c r="O41" s="52">
        <f t="shared" si="10"/>
        <v>20894.264999999999</v>
      </c>
      <c r="P41" s="1">
        <f t="shared" si="11"/>
        <v>20890</v>
      </c>
    </row>
    <row r="42" spans="2:16" x14ac:dyDescent="0.25">
      <c r="B42" s="50" t="s">
        <v>2074</v>
      </c>
      <c r="C42" s="51" t="s">
        <v>2075</v>
      </c>
      <c r="D42" s="51" t="s">
        <v>1878</v>
      </c>
      <c r="E42" s="1">
        <v>6980</v>
      </c>
      <c r="F42" s="1">
        <v>0.05</v>
      </c>
      <c r="G42" s="1">
        <v>0.13</v>
      </c>
      <c r="H42" s="1">
        <f t="shared" si="7"/>
        <v>349</v>
      </c>
      <c r="I42" s="52">
        <f t="shared" si="8"/>
        <v>952.77</v>
      </c>
      <c r="J42" s="52">
        <f t="shared" si="9"/>
        <v>8281.77</v>
      </c>
      <c r="K42" s="53">
        <v>0.2</v>
      </c>
      <c r="L42" s="52">
        <f t="shared" si="3"/>
        <v>1656.3540000000003</v>
      </c>
      <c r="M42" s="52">
        <f t="shared" si="4"/>
        <v>9938.1239999999998</v>
      </c>
      <c r="N42" s="53">
        <v>0.2</v>
      </c>
      <c r="O42" s="52">
        <f t="shared" si="10"/>
        <v>12422.654999999999</v>
      </c>
      <c r="P42" s="1">
        <f t="shared" si="11"/>
        <v>12420</v>
      </c>
    </row>
    <row r="43" spans="2:16" x14ac:dyDescent="0.25">
      <c r="B43" s="54" t="s">
        <v>2076</v>
      </c>
      <c r="C43" s="1" t="s">
        <v>2077</v>
      </c>
      <c r="D43" s="1" t="s">
        <v>1878</v>
      </c>
      <c r="E43" s="1">
        <v>4090</v>
      </c>
      <c r="F43" s="1">
        <v>0.05</v>
      </c>
      <c r="G43" s="1">
        <v>0.13</v>
      </c>
      <c r="H43" s="1">
        <f t="shared" si="7"/>
        <v>204.5</v>
      </c>
      <c r="I43" s="52">
        <f t="shared" si="8"/>
        <v>558.28499999999997</v>
      </c>
      <c r="J43" s="52">
        <f t="shared" si="9"/>
        <v>4852.7849999999999</v>
      </c>
      <c r="K43" s="53">
        <v>0.15</v>
      </c>
      <c r="L43" s="52">
        <f t="shared" si="3"/>
        <v>727.91774999999996</v>
      </c>
      <c r="M43" s="52">
        <f t="shared" si="4"/>
        <v>5580.7027499999995</v>
      </c>
      <c r="N43" s="53">
        <v>0.2</v>
      </c>
      <c r="O43" s="52">
        <f t="shared" si="10"/>
        <v>6975.8784374999987</v>
      </c>
      <c r="P43" s="1">
        <f t="shared" si="11"/>
        <v>6980</v>
      </c>
    </row>
    <row r="44" spans="2:16" x14ac:dyDescent="0.25">
      <c r="B44" s="50" t="s">
        <v>2048</v>
      </c>
      <c r="C44" s="51" t="s">
        <v>2078</v>
      </c>
      <c r="D44" s="51" t="s">
        <v>1878</v>
      </c>
      <c r="E44" s="1">
        <v>4760</v>
      </c>
      <c r="F44" s="1">
        <v>0.05</v>
      </c>
      <c r="G44" s="1">
        <v>0.13</v>
      </c>
      <c r="H44" s="1">
        <f t="shared" si="7"/>
        <v>238</v>
      </c>
      <c r="I44" s="52">
        <f t="shared" si="8"/>
        <v>649.74</v>
      </c>
      <c r="J44" s="52">
        <f t="shared" si="9"/>
        <v>5647.74</v>
      </c>
      <c r="K44" s="53">
        <v>0.2</v>
      </c>
      <c r="L44" s="52">
        <f t="shared" si="3"/>
        <v>1129.548</v>
      </c>
      <c r="M44" s="52">
        <f t="shared" si="4"/>
        <v>6777.2879999999996</v>
      </c>
      <c r="N44" s="53">
        <v>0.2</v>
      </c>
      <c r="O44" s="52">
        <f t="shared" si="10"/>
        <v>8471.6099999999988</v>
      </c>
      <c r="P44" s="1">
        <f t="shared" si="11"/>
        <v>8470</v>
      </c>
    </row>
    <row r="45" spans="2:16" x14ac:dyDescent="0.25">
      <c r="B45" s="50" t="s">
        <v>2079</v>
      </c>
      <c r="C45" s="51" t="s">
        <v>2080</v>
      </c>
      <c r="D45" s="51" t="s">
        <v>1878</v>
      </c>
      <c r="E45" s="1">
        <v>6540</v>
      </c>
      <c r="F45" s="1">
        <v>0.05</v>
      </c>
      <c r="G45" s="1">
        <v>0.13</v>
      </c>
      <c r="H45" s="1">
        <f t="shared" si="7"/>
        <v>327</v>
      </c>
      <c r="I45" s="52">
        <f t="shared" si="8"/>
        <v>892.71</v>
      </c>
      <c r="J45" s="52">
        <f t="shared" si="9"/>
        <v>7759.71</v>
      </c>
      <c r="K45" s="53">
        <v>0.2</v>
      </c>
      <c r="L45" s="52">
        <f t="shared" si="3"/>
        <v>1551.942</v>
      </c>
      <c r="M45" s="52">
        <f t="shared" si="4"/>
        <v>9311.652</v>
      </c>
      <c r="N45" s="53">
        <v>0.2</v>
      </c>
      <c r="O45" s="52">
        <f t="shared" si="10"/>
        <v>11639.564999999999</v>
      </c>
      <c r="P45" s="1">
        <f t="shared" si="11"/>
        <v>11640</v>
      </c>
    </row>
    <row r="46" spans="2:16" x14ac:dyDescent="0.25">
      <c r="B46" s="50" t="s">
        <v>2081</v>
      </c>
      <c r="C46" s="51" t="s">
        <v>2082</v>
      </c>
      <c r="D46" s="51" t="s">
        <v>1878</v>
      </c>
      <c r="E46" s="1">
        <v>7110</v>
      </c>
      <c r="F46" s="1">
        <v>0.05</v>
      </c>
      <c r="G46" s="1">
        <v>0.13</v>
      </c>
      <c r="H46" s="1">
        <f t="shared" si="7"/>
        <v>355.5</v>
      </c>
      <c r="I46" s="52">
        <f t="shared" si="8"/>
        <v>970.51499999999999</v>
      </c>
      <c r="J46" s="52">
        <f t="shared" si="9"/>
        <v>8436.0149999999994</v>
      </c>
      <c r="K46" s="53">
        <v>0.2</v>
      </c>
      <c r="L46" s="52">
        <f t="shared" si="3"/>
        <v>1687.203</v>
      </c>
      <c r="M46" s="52">
        <f t="shared" si="4"/>
        <v>10123.217999999999</v>
      </c>
      <c r="N46" s="53">
        <v>0.2</v>
      </c>
      <c r="O46" s="52">
        <f t="shared" si="10"/>
        <v>12654.022499999997</v>
      </c>
      <c r="P46" s="1">
        <f t="shared" si="11"/>
        <v>12650</v>
      </c>
    </row>
    <row r="47" spans="2:16" x14ac:dyDescent="0.25">
      <c r="B47" s="50" t="s">
        <v>2083</v>
      </c>
      <c r="C47" s="51" t="s">
        <v>2084</v>
      </c>
      <c r="D47" s="51" t="s">
        <v>1878</v>
      </c>
      <c r="E47" s="1">
        <v>14160</v>
      </c>
      <c r="F47" s="1">
        <v>0.05</v>
      </c>
      <c r="G47" s="1">
        <v>0.13</v>
      </c>
      <c r="H47" s="1">
        <f t="shared" si="7"/>
        <v>708</v>
      </c>
      <c r="I47" s="52">
        <f t="shared" si="8"/>
        <v>1932.8400000000001</v>
      </c>
      <c r="J47" s="52">
        <f t="shared" si="9"/>
        <v>16800.84</v>
      </c>
      <c r="K47" s="53">
        <v>0.2</v>
      </c>
      <c r="L47" s="52">
        <f t="shared" si="3"/>
        <v>3360.1680000000001</v>
      </c>
      <c r="M47" s="52">
        <f t="shared" si="4"/>
        <v>20161.008000000002</v>
      </c>
      <c r="N47" s="53">
        <v>0.2</v>
      </c>
      <c r="O47" s="52">
        <f t="shared" si="10"/>
        <v>25201.260000000002</v>
      </c>
      <c r="P47" s="1">
        <f t="shared" si="11"/>
        <v>25200</v>
      </c>
    </row>
    <row r="48" spans="2:16" x14ac:dyDescent="0.25">
      <c r="B48" s="50" t="s">
        <v>2085</v>
      </c>
      <c r="C48" s="51" t="s">
        <v>2086</v>
      </c>
      <c r="D48" s="51" t="s">
        <v>1878</v>
      </c>
      <c r="E48" s="1">
        <v>21260</v>
      </c>
      <c r="F48" s="1">
        <v>0.05</v>
      </c>
      <c r="G48" s="1">
        <v>0.13</v>
      </c>
      <c r="H48" s="1">
        <f t="shared" si="7"/>
        <v>1063</v>
      </c>
      <c r="I48" s="52">
        <f t="shared" si="8"/>
        <v>2901.9900000000002</v>
      </c>
      <c r="J48" s="52">
        <f t="shared" si="9"/>
        <v>25224.99</v>
      </c>
      <c r="K48" s="53">
        <v>0.2</v>
      </c>
      <c r="L48" s="52">
        <f t="shared" si="3"/>
        <v>5044.9980000000005</v>
      </c>
      <c r="M48" s="52">
        <f t="shared" si="4"/>
        <v>30269.988000000001</v>
      </c>
      <c r="N48" s="53">
        <v>0.2</v>
      </c>
      <c r="O48" s="52">
        <f t="shared" si="10"/>
        <v>37837.485000000001</v>
      </c>
      <c r="P48" s="1">
        <f t="shared" si="11"/>
        <v>37840</v>
      </c>
    </row>
    <row r="49" spans="2:16" x14ac:dyDescent="0.25">
      <c r="B49" s="50" t="s">
        <v>2087</v>
      </c>
      <c r="C49" s="51" t="s">
        <v>2088</v>
      </c>
      <c r="D49" s="51" t="s">
        <v>1878</v>
      </c>
      <c r="E49" s="1">
        <v>11420</v>
      </c>
      <c r="F49" s="1">
        <v>0.05</v>
      </c>
      <c r="G49" s="1">
        <v>0.13</v>
      </c>
      <c r="H49" s="1">
        <f t="shared" si="7"/>
        <v>571</v>
      </c>
      <c r="I49" s="52">
        <f t="shared" si="8"/>
        <v>1558.8300000000002</v>
      </c>
      <c r="J49" s="52">
        <f t="shared" si="9"/>
        <v>13549.83</v>
      </c>
      <c r="K49" s="53">
        <v>0.2</v>
      </c>
      <c r="L49" s="52">
        <f t="shared" si="3"/>
        <v>2709.9660000000003</v>
      </c>
      <c r="M49" s="52">
        <f t="shared" si="4"/>
        <v>16259.796</v>
      </c>
      <c r="N49" s="53">
        <v>0.2</v>
      </c>
      <c r="O49" s="52">
        <f t="shared" si="10"/>
        <v>20324.744999999999</v>
      </c>
      <c r="P49" s="1">
        <f t="shared" si="11"/>
        <v>20320</v>
      </c>
    </row>
    <row r="50" spans="2:16" x14ac:dyDescent="0.25">
      <c r="B50" s="50" t="s">
        <v>2089</v>
      </c>
      <c r="C50" s="51" t="s">
        <v>2090</v>
      </c>
      <c r="D50" s="51" t="s">
        <v>1878</v>
      </c>
      <c r="E50" s="1">
        <v>6430</v>
      </c>
      <c r="F50" s="1">
        <v>0.05</v>
      </c>
      <c r="G50" s="1">
        <v>0.13</v>
      </c>
      <c r="H50" s="1">
        <f t="shared" si="7"/>
        <v>321.5</v>
      </c>
      <c r="I50" s="52">
        <f t="shared" si="8"/>
        <v>877.69500000000005</v>
      </c>
      <c r="J50" s="52">
        <f t="shared" si="9"/>
        <v>7629.1949999999997</v>
      </c>
      <c r="K50" s="53">
        <v>0.2</v>
      </c>
      <c r="L50" s="52">
        <f t="shared" si="3"/>
        <v>1525.8389999999999</v>
      </c>
      <c r="M50" s="52">
        <f t="shared" si="4"/>
        <v>9155.0339999999997</v>
      </c>
      <c r="N50" s="53">
        <v>0.2</v>
      </c>
      <c r="O50" s="52">
        <f t="shared" si="10"/>
        <v>11443.7925</v>
      </c>
      <c r="P50" s="1">
        <f t="shared" si="11"/>
        <v>11440</v>
      </c>
    </row>
    <row r="51" spans="2:16" x14ac:dyDescent="0.25">
      <c r="B51" s="50" t="s">
        <v>2091</v>
      </c>
      <c r="C51" s="51" t="s">
        <v>2092</v>
      </c>
      <c r="D51" s="51" t="s">
        <v>1878</v>
      </c>
      <c r="E51" s="1">
        <v>5080</v>
      </c>
      <c r="F51" s="1">
        <v>0.05</v>
      </c>
      <c r="G51" s="1">
        <v>0.13</v>
      </c>
      <c r="H51" s="1">
        <f t="shared" si="7"/>
        <v>254</v>
      </c>
      <c r="I51" s="52">
        <f t="shared" si="8"/>
        <v>693.42000000000007</v>
      </c>
      <c r="J51" s="52">
        <f t="shared" si="9"/>
        <v>6027.42</v>
      </c>
      <c r="K51" s="53">
        <v>0.2</v>
      </c>
      <c r="L51" s="52">
        <f t="shared" si="3"/>
        <v>1205.4840000000002</v>
      </c>
      <c r="M51" s="52">
        <f t="shared" si="4"/>
        <v>7232.9040000000005</v>
      </c>
      <c r="N51" s="53">
        <v>0.2</v>
      </c>
      <c r="O51" s="52">
        <f t="shared" si="10"/>
        <v>9041.1299999999992</v>
      </c>
      <c r="P51" s="1">
        <f t="shared" si="11"/>
        <v>9040</v>
      </c>
    </row>
    <row r="52" spans="2:16" x14ac:dyDescent="0.25">
      <c r="B52" s="50" t="s">
        <v>2064</v>
      </c>
      <c r="C52" s="51" t="s">
        <v>2093</v>
      </c>
      <c r="D52" s="51" t="s">
        <v>1878</v>
      </c>
      <c r="E52" s="1">
        <v>7810</v>
      </c>
      <c r="F52" s="1">
        <v>0.05</v>
      </c>
      <c r="G52" s="1">
        <v>0.13</v>
      </c>
      <c r="H52" s="1">
        <f t="shared" si="7"/>
        <v>390.5</v>
      </c>
      <c r="I52" s="52">
        <f t="shared" si="8"/>
        <v>1066.0650000000001</v>
      </c>
      <c r="J52" s="52">
        <f t="shared" si="9"/>
        <v>9266.5650000000005</v>
      </c>
      <c r="K52" s="53">
        <v>0.2</v>
      </c>
      <c r="L52" s="52">
        <f t="shared" si="3"/>
        <v>1853.3130000000001</v>
      </c>
      <c r="M52" s="52">
        <f t="shared" si="4"/>
        <v>11119.878000000001</v>
      </c>
      <c r="N52" s="53">
        <v>0.2</v>
      </c>
      <c r="O52" s="52">
        <f t="shared" si="10"/>
        <v>13899.8475</v>
      </c>
      <c r="P52" s="1">
        <f t="shared" si="11"/>
        <v>13900</v>
      </c>
    </row>
    <row r="53" spans="2:16" x14ac:dyDescent="0.25">
      <c r="B53" s="50" t="s">
        <v>2094</v>
      </c>
      <c r="C53" s="51" t="s">
        <v>2095</v>
      </c>
      <c r="D53" s="51" t="s">
        <v>1878</v>
      </c>
      <c r="E53" s="1">
        <v>4460</v>
      </c>
      <c r="F53" s="1">
        <v>0.05</v>
      </c>
      <c r="G53" s="1">
        <v>0.13</v>
      </c>
      <c r="H53" s="1">
        <f t="shared" si="7"/>
        <v>223</v>
      </c>
      <c r="I53" s="52">
        <f t="shared" si="8"/>
        <v>608.79000000000008</v>
      </c>
      <c r="J53" s="52">
        <f t="shared" si="9"/>
        <v>5291.79</v>
      </c>
      <c r="K53" s="53">
        <v>0.2</v>
      </c>
      <c r="L53" s="52">
        <f t="shared" si="3"/>
        <v>1058.3579999999999</v>
      </c>
      <c r="M53" s="52">
        <f t="shared" si="4"/>
        <v>6350.1480000000001</v>
      </c>
      <c r="N53" s="53">
        <v>0.2</v>
      </c>
      <c r="O53" s="52">
        <f t="shared" si="10"/>
        <v>7937.6849999999995</v>
      </c>
      <c r="P53" s="1">
        <f t="shared" si="11"/>
        <v>7940</v>
      </c>
    </row>
    <row r="54" spans="2:16" x14ac:dyDescent="0.25">
      <c r="B54" s="50" t="s">
        <v>2096</v>
      </c>
      <c r="C54" s="51" t="s">
        <v>2097</v>
      </c>
      <c r="D54" s="51" t="s">
        <v>1878</v>
      </c>
      <c r="E54" s="1">
        <v>6760</v>
      </c>
      <c r="F54" s="1">
        <v>0.05</v>
      </c>
      <c r="G54" s="1">
        <v>0.13</v>
      </c>
      <c r="H54" s="1">
        <f t="shared" si="7"/>
        <v>338</v>
      </c>
      <c r="I54" s="52">
        <f t="shared" si="8"/>
        <v>922.74</v>
      </c>
      <c r="J54" s="52">
        <f t="shared" si="9"/>
        <v>8020.74</v>
      </c>
      <c r="K54" s="53">
        <v>0.2</v>
      </c>
      <c r="L54" s="52">
        <f t="shared" si="3"/>
        <v>1604.1480000000001</v>
      </c>
      <c r="M54" s="52">
        <f t="shared" si="4"/>
        <v>9624.887999999999</v>
      </c>
      <c r="N54" s="53">
        <v>0.2</v>
      </c>
      <c r="O54" s="52">
        <f t="shared" si="10"/>
        <v>12031.109999999999</v>
      </c>
      <c r="P54" s="1">
        <f t="shared" si="11"/>
        <v>12030</v>
      </c>
    </row>
    <row r="55" spans="2:16" x14ac:dyDescent="0.25">
      <c r="B55" s="50" t="s">
        <v>2098</v>
      </c>
      <c r="C55" s="51" t="s">
        <v>2099</v>
      </c>
      <c r="D55" s="51" t="s">
        <v>1878</v>
      </c>
      <c r="E55" s="1">
        <v>5070</v>
      </c>
      <c r="F55" s="1">
        <v>0.05</v>
      </c>
      <c r="G55" s="1">
        <v>0.13</v>
      </c>
      <c r="H55" s="1">
        <f t="shared" si="7"/>
        <v>253.5</v>
      </c>
      <c r="I55" s="52">
        <f t="shared" si="8"/>
        <v>692.05500000000006</v>
      </c>
      <c r="J55" s="52">
        <f t="shared" si="9"/>
        <v>6015.5550000000003</v>
      </c>
      <c r="K55" s="53">
        <v>0.2</v>
      </c>
      <c r="L55" s="52">
        <f t="shared" si="3"/>
        <v>1203.1110000000001</v>
      </c>
      <c r="M55" s="52">
        <f t="shared" si="4"/>
        <v>7218.6660000000002</v>
      </c>
      <c r="N55" s="53">
        <v>0.2</v>
      </c>
      <c r="O55" s="52">
        <f t="shared" si="10"/>
        <v>9023.3325000000004</v>
      </c>
      <c r="P55" s="1">
        <f t="shared" si="11"/>
        <v>9020</v>
      </c>
    </row>
    <row r="56" spans="2:16" x14ac:dyDescent="0.25">
      <c r="B56" s="133" t="s">
        <v>2100</v>
      </c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5"/>
    </row>
    <row r="57" spans="2:16" x14ac:dyDescent="0.25">
      <c r="B57" s="50" t="s">
        <v>2101</v>
      </c>
      <c r="C57" s="51" t="s">
        <v>2102</v>
      </c>
      <c r="D57" s="51" t="s">
        <v>1878</v>
      </c>
      <c r="E57" s="1">
        <v>3580</v>
      </c>
      <c r="F57" s="1">
        <v>0.05</v>
      </c>
      <c r="G57" s="1">
        <v>0.13</v>
      </c>
      <c r="H57" s="1">
        <f t="shared" ref="H57:H75" si="12">F57*E57</f>
        <v>179</v>
      </c>
      <c r="I57" s="52">
        <f t="shared" ref="I57:I75" si="13">G57*(E57+H57)</f>
        <v>488.67</v>
      </c>
      <c r="J57" s="52">
        <f t="shared" ref="J57:J75" si="14">E57+H57+I57</f>
        <v>4247.67</v>
      </c>
      <c r="K57" s="53">
        <v>0.2</v>
      </c>
      <c r="L57" s="52">
        <f t="shared" si="3"/>
        <v>849.53400000000011</v>
      </c>
      <c r="M57" s="52">
        <f t="shared" si="4"/>
        <v>5097.2039999999997</v>
      </c>
      <c r="N57" s="53">
        <v>0.2</v>
      </c>
      <c r="O57" s="52">
        <f t="shared" ref="O57:O75" si="15">$M57/(1-N57)</f>
        <v>6371.5049999999992</v>
      </c>
      <c r="P57" s="1">
        <f t="shared" ref="P57:P75" si="16">MROUND(O57,10)</f>
        <v>6370</v>
      </c>
    </row>
    <row r="58" spans="2:16" x14ac:dyDescent="0.25">
      <c r="B58" s="50" t="s">
        <v>2103</v>
      </c>
      <c r="C58" s="51" t="s">
        <v>2104</v>
      </c>
      <c r="D58" s="51" t="s">
        <v>1878</v>
      </c>
      <c r="E58" s="1">
        <v>4990</v>
      </c>
      <c r="F58" s="1">
        <v>0.05</v>
      </c>
      <c r="G58" s="1">
        <v>0.13</v>
      </c>
      <c r="H58" s="1">
        <f t="shared" si="12"/>
        <v>249.5</v>
      </c>
      <c r="I58" s="52">
        <f t="shared" si="13"/>
        <v>681.13499999999999</v>
      </c>
      <c r="J58" s="52">
        <f t="shared" si="14"/>
        <v>5920.6350000000002</v>
      </c>
      <c r="K58" s="53">
        <v>0.2</v>
      </c>
      <c r="L58" s="52">
        <f t="shared" si="3"/>
        <v>1184.1270000000002</v>
      </c>
      <c r="M58" s="52">
        <f t="shared" si="4"/>
        <v>7104.7620000000006</v>
      </c>
      <c r="N58" s="53">
        <v>0.2</v>
      </c>
      <c r="O58" s="52">
        <f t="shared" si="15"/>
        <v>8880.9524999999994</v>
      </c>
      <c r="P58" s="1">
        <f t="shared" si="16"/>
        <v>8880</v>
      </c>
    </row>
    <row r="59" spans="2:16" x14ac:dyDescent="0.25">
      <c r="B59" s="50" t="s">
        <v>2105</v>
      </c>
      <c r="C59" s="51" t="s">
        <v>2106</v>
      </c>
      <c r="D59" s="51" t="s">
        <v>1878</v>
      </c>
      <c r="E59" s="1">
        <v>6140</v>
      </c>
      <c r="F59" s="1">
        <v>0.05</v>
      </c>
      <c r="G59" s="1">
        <v>0.13</v>
      </c>
      <c r="H59" s="1">
        <f t="shared" si="12"/>
        <v>307</v>
      </c>
      <c r="I59" s="52">
        <f t="shared" si="13"/>
        <v>838.11</v>
      </c>
      <c r="J59" s="52">
        <f t="shared" si="14"/>
        <v>7285.11</v>
      </c>
      <c r="K59" s="53">
        <v>0.2</v>
      </c>
      <c r="L59" s="52">
        <f t="shared" si="3"/>
        <v>1457.0219999999999</v>
      </c>
      <c r="M59" s="52">
        <f t="shared" si="4"/>
        <v>8742.1319999999996</v>
      </c>
      <c r="N59" s="53">
        <v>0.2</v>
      </c>
      <c r="O59" s="52">
        <f t="shared" si="15"/>
        <v>10927.664999999999</v>
      </c>
      <c r="P59" s="1">
        <f t="shared" si="16"/>
        <v>10930</v>
      </c>
    </row>
    <row r="60" spans="2:16" x14ac:dyDescent="0.25">
      <c r="B60" s="50" t="s">
        <v>2107</v>
      </c>
      <c r="C60" s="51" t="s">
        <v>2108</v>
      </c>
      <c r="D60" s="51" t="s">
        <v>1878</v>
      </c>
      <c r="E60" s="1">
        <v>12140</v>
      </c>
      <c r="F60" s="1">
        <v>0.05</v>
      </c>
      <c r="G60" s="1">
        <v>0.13</v>
      </c>
      <c r="H60" s="1">
        <f t="shared" si="12"/>
        <v>607</v>
      </c>
      <c r="I60" s="52">
        <f t="shared" si="13"/>
        <v>1657.1100000000001</v>
      </c>
      <c r="J60" s="52">
        <f t="shared" si="14"/>
        <v>14404.11</v>
      </c>
      <c r="K60" s="53">
        <v>0.2</v>
      </c>
      <c r="L60" s="52">
        <f t="shared" si="3"/>
        <v>2880.8220000000001</v>
      </c>
      <c r="M60" s="52">
        <f t="shared" si="4"/>
        <v>17284.932000000001</v>
      </c>
      <c r="N60" s="53">
        <v>0.2</v>
      </c>
      <c r="O60" s="52">
        <f t="shared" si="15"/>
        <v>21606.165000000001</v>
      </c>
      <c r="P60" s="1">
        <f t="shared" si="16"/>
        <v>21610</v>
      </c>
    </row>
    <row r="61" spans="2:16" x14ac:dyDescent="0.25">
      <c r="B61" s="50" t="s">
        <v>2109</v>
      </c>
      <c r="C61" s="51" t="s">
        <v>2110</v>
      </c>
      <c r="D61" s="51" t="s">
        <v>1878</v>
      </c>
      <c r="E61" s="1">
        <v>16180</v>
      </c>
      <c r="F61" s="1">
        <v>0.05</v>
      </c>
      <c r="G61" s="1">
        <v>0.13</v>
      </c>
      <c r="H61" s="1">
        <f t="shared" si="12"/>
        <v>809</v>
      </c>
      <c r="I61" s="52">
        <f t="shared" si="13"/>
        <v>2208.5700000000002</v>
      </c>
      <c r="J61" s="52">
        <f t="shared" si="14"/>
        <v>19197.57</v>
      </c>
      <c r="K61" s="53">
        <v>0.2</v>
      </c>
      <c r="L61" s="52">
        <f t="shared" si="3"/>
        <v>3839.5140000000001</v>
      </c>
      <c r="M61" s="52">
        <f t="shared" si="4"/>
        <v>23037.083999999999</v>
      </c>
      <c r="N61" s="53">
        <v>0.2</v>
      </c>
      <c r="O61" s="52">
        <f t="shared" si="15"/>
        <v>28796.354999999996</v>
      </c>
      <c r="P61" s="1">
        <f t="shared" si="16"/>
        <v>28800</v>
      </c>
    </row>
    <row r="62" spans="2:16" x14ac:dyDescent="0.25">
      <c r="B62" s="50" t="s">
        <v>2111</v>
      </c>
      <c r="C62" s="51" t="s">
        <v>2112</v>
      </c>
      <c r="D62" s="51" t="s">
        <v>1878</v>
      </c>
      <c r="E62" s="1">
        <v>10790</v>
      </c>
      <c r="F62" s="1">
        <v>0.05</v>
      </c>
      <c r="G62" s="1">
        <v>0.13</v>
      </c>
      <c r="H62" s="1">
        <f t="shared" si="12"/>
        <v>539.5</v>
      </c>
      <c r="I62" s="52">
        <f t="shared" si="13"/>
        <v>1472.835</v>
      </c>
      <c r="J62" s="52">
        <f t="shared" si="14"/>
        <v>12802.334999999999</v>
      </c>
      <c r="K62" s="53">
        <v>0.2</v>
      </c>
      <c r="L62" s="52">
        <f t="shared" si="3"/>
        <v>2560.4670000000001</v>
      </c>
      <c r="M62" s="52">
        <f t="shared" si="4"/>
        <v>15362.802</v>
      </c>
      <c r="N62" s="53">
        <v>0.2</v>
      </c>
      <c r="O62" s="52">
        <f t="shared" si="15"/>
        <v>19203.502499999999</v>
      </c>
      <c r="P62" s="1">
        <f t="shared" si="16"/>
        <v>19200</v>
      </c>
    </row>
    <row r="63" spans="2:16" x14ac:dyDescent="0.25">
      <c r="B63" s="50" t="s">
        <v>2113</v>
      </c>
      <c r="C63" s="51" t="s">
        <v>2114</v>
      </c>
      <c r="D63" s="51" t="s">
        <v>1878</v>
      </c>
      <c r="E63" s="1">
        <v>5400</v>
      </c>
      <c r="F63" s="1">
        <v>0.05</v>
      </c>
      <c r="G63" s="1">
        <v>0.13</v>
      </c>
      <c r="H63" s="1">
        <f t="shared" si="12"/>
        <v>270</v>
      </c>
      <c r="I63" s="52">
        <f t="shared" si="13"/>
        <v>737.1</v>
      </c>
      <c r="J63" s="52">
        <f t="shared" si="14"/>
        <v>6407.1</v>
      </c>
      <c r="K63" s="53">
        <v>0.2</v>
      </c>
      <c r="L63" s="52">
        <f t="shared" si="3"/>
        <v>1281.42</v>
      </c>
      <c r="M63" s="52">
        <f t="shared" si="4"/>
        <v>7688.52</v>
      </c>
      <c r="N63" s="53">
        <v>0.2</v>
      </c>
      <c r="O63" s="52">
        <f t="shared" si="15"/>
        <v>9610.65</v>
      </c>
      <c r="P63" s="1">
        <f t="shared" si="16"/>
        <v>9610</v>
      </c>
    </row>
    <row r="64" spans="2:16" x14ac:dyDescent="0.25">
      <c r="B64" s="50" t="s">
        <v>2115</v>
      </c>
      <c r="C64" s="51" t="s">
        <v>2116</v>
      </c>
      <c r="D64" s="51" t="s">
        <v>1878</v>
      </c>
      <c r="E64" s="1">
        <v>4320</v>
      </c>
      <c r="F64" s="1">
        <v>0.05</v>
      </c>
      <c r="G64" s="1">
        <v>0.13</v>
      </c>
      <c r="H64" s="1">
        <f t="shared" si="12"/>
        <v>216</v>
      </c>
      <c r="I64" s="52">
        <f t="shared" si="13"/>
        <v>589.68000000000006</v>
      </c>
      <c r="J64" s="52">
        <f t="shared" si="14"/>
        <v>5125.68</v>
      </c>
      <c r="K64" s="53">
        <v>0.2</v>
      </c>
      <c r="L64" s="52">
        <f t="shared" si="3"/>
        <v>1025.1360000000002</v>
      </c>
      <c r="M64" s="52">
        <f t="shared" si="4"/>
        <v>6150.8160000000007</v>
      </c>
      <c r="N64" s="53">
        <v>0.2</v>
      </c>
      <c r="O64" s="52">
        <f t="shared" si="15"/>
        <v>7688.52</v>
      </c>
      <c r="P64" s="1">
        <f t="shared" si="16"/>
        <v>7690</v>
      </c>
    </row>
    <row r="65" spans="2:16" x14ac:dyDescent="0.25">
      <c r="B65" s="54" t="s">
        <v>2117</v>
      </c>
      <c r="C65" s="1" t="s">
        <v>2118</v>
      </c>
      <c r="D65" s="1" t="s">
        <v>1878</v>
      </c>
      <c r="E65" s="1">
        <v>4750</v>
      </c>
      <c r="F65" s="1">
        <v>0.05</v>
      </c>
      <c r="G65" s="1">
        <v>0.13</v>
      </c>
      <c r="H65" s="1">
        <f t="shared" si="12"/>
        <v>237.5</v>
      </c>
      <c r="I65" s="52">
        <f t="shared" si="13"/>
        <v>648.375</v>
      </c>
      <c r="J65" s="52">
        <f t="shared" si="14"/>
        <v>5635.875</v>
      </c>
      <c r="K65" s="53">
        <v>0.15</v>
      </c>
      <c r="L65" s="52">
        <f t="shared" si="3"/>
        <v>845.38125000000002</v>
      </c>
      <c r="M65" s="52">
        <f t="shared" si="4"/>
        <v>6481.2562500000004</v>
      </c>
      <c r="N65" s="53">
        <v>0.2</v>
      </c>
      <c r="O65" s="52">
        <f t="shared" si="15"/>
        <v>8101.5703125</v>
      </c>
      <c r="P65" s="1">
        <f t="shared" si="16"/>
        <v>8100</v>
      </c>
    </row>
    <row r="66" spans="2:16" x14ac:dyDescent="0.25">
      <c r="B66" s="50" t="s">
        <v>2119</v>
      </c>
      <c r="C66" s="51" t="s">
        <v>2120</v>
      </c>
      <c r="D66" s="51" t="s">
        <v>1878</v>
      </c>
      <c r="E66" s="1">
        <v>7360</v>
      </c>
      <c r="F66" s="1">
        <v>0.05</v>
      </c>
      <c r="G66" s="1">
        <v>0.13</v>
      </c>
      <c r="H66" s="1">
        <f t="shared" si="12"/>
        <v>368</v>
      </c>
      <c r="I66" s="52">
        <f t="shared" si="13"/>
        <v>1004.64</v>
      </c>
      <c r="J66" s="52">
        <f t="shared" si="14"/>
        <v>8732.64</v>
      </c>
      <c r="K66" s="53">
        <v>0.2</v>
      </c>
      <c r="L66" s="52">
        <f t="shared" si="3"/>
        <v>1746.528</v>
      </c>
      <c r="M66" s="52">
        <f t="shared" si="4"/>
        <v>10479.168</v>
      </c>
      <c r="N66" s="53">
        <v>0.2</v>
      </c>
      <c r="O66" s="52">
        <f t="shared" si="15"/>
        <v>13098.96</v>
      </c>
      <c r="P66" s="1">
        <f t="shared" si="16"/>
        <v>13100</v>
      </c>
    </row>
    <row r="67" spans="2:16" x14ac:dyDescent="0.25">
      <c r="B67" s="50" t="s">
        <v>2121</v>
      </c>
      <c r="C67" s="51" t="s">
        <v>2122</v>
      </c>
      <c r="D67" s="51" t="s">
        <v>1878</v>
      </c>
      <c r="E67" s="1">
        <v>9840</v>
      </c>
      <c r="F67" s="1">
        <v>0.05</v>
      </c>
      <c r="G67" s="1">
        <v>0.13</v>
      </c>
      <c r="H67" s="1">
        <f t="shared" si="12"/>
        <v>492</v>
      </c>
      <c r="I67" s="52">
        <f t="shared" si="13"/>
        <v>1343.16</v>
      </c>
      <c r="J67" s="52">
        <f t="shared" si="14"/>
        <v>11675.16</v>
      </c>
      <c r="K67" s="53">
        <v>0.2</v>
      </c>
      <c r="L67" s="52">
        <f t="shared" si="3"/>
        <v>2335.0320000000002</v>
      </c>
      <c r="M67" s="52">
        <f t="shared" si="4"/>
        <v>14010.191999999999</v>
      </c>
      <c r="N67" s="53">
        <v>0.2</v>
      </c>
      <c r="O67" s="52">
        <f t="shared" si="15"/>
        <v>17512.739999999998</v>
      </c>
      <c r="P67" s="1">
        <f t="shared" si="16"/>
        <v>17510</v>
      </c>
    </row>
    <row r="68" spans="2:16" x14ac:dyDescent="0.25">
      <c r="B68" s="50" t="s">
        <v>2101</v>
      </c>
      <c r="C68" s="51" t="s">
        <v>2123</v>
      </c>
      <c r="D68" s="51" t="s">
        <v>1878</v>
      </c>
      <c r="E68" s="1">
        <v>4320</v>
      </c>
      <c r="F68" s="1">
        <v>0.05</v>
      </c>
      <c r="G68" s="1">
        <v>0.13</v>
      </c>
      <c r="H68" s="1">
        <f t="shared" si="12"/>
        <v>216</v>
      </c>
      <c r="I68" s="52">
        <f t="shared" si="13"/>
        <v>589.68000000000006</v>
      </c>
      <c r="J68" s="52">
        <f t="shared" si="14"/>
        <v>5125.68</v>
      </c>
      <c r="K68" s="53">
        <v>0.2</v>
      </c>
      <c r="L68" s="52">
        <f t="shared" ref="L68:L99" si="17">J68*K68</f>
        <v>1025.1360000000002</v>
      </c>
      <c r="M68" s="52">
        <f t="shared" ref="M68:M99" si="18">J68+L68</f>
        <v>6150.8160000000007</v>
      </c>
      <c r="N68" s="53">
        <v>0.2</v>
      </c>
      <c r="O68" s="52">
        <f t="shared" si="15"/>
        <v>7688.52</v>
      </c>
      <c r="P68" s="1">
        <f t="shared" si="16"/>
        <v>7690</v>
      </c>
    </row>
    <row r="69" spans="2:16" x14ac:dyDescent="0.25">
      <c r="B69" s="50" t="s">
        <v>2124</v>
      </c>
      <c r="C69" s="51" t="s">
        <v>2125</v>
      </c>
      <c r="D69" s="51" t="s">
        <v>1878</v>
      </c>
      <c r="E69" s="1">
        <v>6100</v>
      </c>
      <c r="F69" s="1">
        <v>0.05</v>
      </c>
      <c r="G69" s="1">
        <v>0.13</v>
      </c>
      <c r="H69" s="1">
        <f t="shared" si="12"/>
        <v>305</v>
      </c>
      <c r="I69" s="52">
        <f t="shared" si="13"/>
        <v>832.65</v>
      </c>
      <c r="J69" s="52">
        <f t="shared" si="14"/>
        <v>7237.65</v>
      </c>
      <c r="K69" s="53">
        <v>0.2</v>
      </c>
      <c r="L69" s="52">
        <f t="shared" si="17"/>
        <v>1447.53</v>
      </c>
      <c r="M69" s="52">
        <f t="shared" si="18"/>
        <v>8685.18</v>
      </c>
      <c r="N69" s="53">
        <v>0.2</v>
      </c>
      <c r="O69" s="52">
        <f t="shared" si="15"/>
        <v>10856.475</v>
      </c>
      <c r="P69" s="1">
        <f t="shared" si="16"/>
        <v>10860</v>
      </c>
    </row>
    <row r="70" spans="2:16" x14ac:dyDescent="0.25">
      <c r="B70" s="50" t="s">
        <v>2126</v>
      </c>
      <c r="C70" s="51" t="s">
        <v>2127</v>
      </c>
      <c r="D70" s="51" t="s">
        <v>1878</v>
      </c>
      <c r="E70" s="1">
        <v>6480</v>
      </c>
      <c r="F70" s="1">
        <v>0.05</v>
      </c>
      <c r="G70" s="1">
        <v>0.13</v>
      </c>
      <c r="H70" s="1">
        <f t="shared" si="12"/>
        <v>324</v>
      </c>
      <c r="I70" s="52">
        <f t="shared" si="13"/>
        <v>884.52</v>
      </c>
      <c r="J70" s="52">
        <f t="shared" si="14"/>
        <v>7688.52</v>
      </c>
      <c r="K70" s="53">
        <v>0.2</v>
      </c>
      <c r="L70" s="52">
        <f t="shared" si="17"/>
        <v>1537.7040000000002</v>
      </c>
      <c r="M70" s="52">
        <f t="shared" si="18"/>
        <v>9226.2240000000002</v>
      </c>
      <c r="N70" s="53">
        <v>0.2</v>
      </c>
      <c r="O70" s="52">
        <f t="shared" si="15"/>
        <v>11532.779999999999</v>
      </c>
      <c r="P70" s="1">
        <f t="shared" si="16"/>
        <v>11530</v>
      </c>
    </row>
    <row r="71" spans="2:16" x14ac:dyDescent="0.25">
      <c r="B71" s="50" t="s">
        <v>2128</v>
      </c>
      <c r="C71" s="51" t="s">
        <v>2129</v>
      </c>
      <c r="D71" s="51" t="s">
        <v>1878</v>
      </c>
      <c r="E71" s="1">
        <v>15230</v>
      </c>
      <c r="F71" s="1">
        <v>0.05</v>
      </c>
      <c r="G71" s="1">
        <v>0.13</v>
      </c>
      <c r="H71" s="1">
        <f t="shared" si="12"/>
        <v>761.5</v>
      </c>
      <c r="I71" s="52">
        <f t="shared" si="13"/>
        <v>2078.895</v>
      </c>
      <c r="J71" s="52">
        <f t="shared" si="14"/>
        <v>18070.395</v>
      </c>
      <c r="K71" s="53">
        <v>0.2</v>
      </c>
      <c r="L71" s="52">
        <f t="shared" si="17"/>
        <v>3614.0790000000002</v>
      </c>
      <c r="M71" s="52">
        <f t="shared" si="18"/>
        <v>21684.474000000002</v>
      </c>
      <c r="N71" s="53">
        <v>0.2</v>
      </c>
      <c r="O71" s="52">
        <f t="shared" si="15"/>
        <v>27105.592500000002</v>
      </c>
      <c r="P71" s="1">
        <f t="shared" si="16"/>
        <v>27110</v>
      </c>
    </row>
    <row r="72" spans="2:16" x14ac:dyDescent="0.25">
      <c r="B72" s="50" t="s">
        <v>2130</v>
      </c>
      <c r="C72" s="51" t="s">
        <v>2131</v>
      </c>
      <c r="D72" s="51" t="s">
        <v>1878</v>
      </c>
      <c r="E72" s="1">
        <v>10590</v>
      </c>
      <c r="F72" s="1">
        <v>0.05</v>
      </c>
      <c r="G72" s="1">
        <v>0.13</v>
      </c>
      <c r="H72" s="1">
        <f t="shared" si="12"/>
        <v>529.5</v>
      </c>
      <c r="I72" s="52">
        <f t="shared" si="13"/>
        <v>1445.5350000000001</v>
      </c>
      <c r="J72" s="52">
        <f t="shared" si="14"/>
        <v>12565.035</v>
      </c>
      <c r="K72" s="53">
        <v>0.2</v>
      </c>
      <c r="L72" s="52">
        <f t="shared" si="17"/>
        <v>2513.0070000000001</v>
      </c>
      <c r="M72" s="52">
        <f t="shared" si="18"/>
        <v>15078.041999999999</v>
      </c>
      <c r="N72" s="53">
        <v>0.2</v>
      </c>
      <c r="O72" s="52">
        <f t="shared" si="15"/>
        <v>18847.552499999998</v>
      </c>
      <c r="P72" s="1">
        <f t="shared" si="16"/>
        <v>18850</v>
      </c>
    </row>
    <row r="73" spans="2:16" x14ac:dyDescent="0.25">
      <c r="B73" s="50" t="s">
        <v>2132</v>
      </c>
      <c r="C73" s="51" t="s">
        <v>2133</v>
      </c>
      <c r="D73" s="51" t="s">
        <v>1878</v>
      </c>
      <c r="E73" s="1">
        <v>6860</v>
      </c>
      <c r="F73" s="1">
        <v>0.05</v>
      </c>
      <c r="G73" s="1">
        <v>0.13</v>
      </c>
      <c r="H73" s="1">
        <f t="shared" si="12"/>
        <v>343</v>
      </c>
      <c r="I73" s="52">
        <f t="shared" si="13"/>
        <v>936.39</v>
      </c>
      <c r="J73" s="52">
        <f t="shared" si="14"/>
        <v>8139.39</v>
      </c>
      <c r="K73" s="53">
        <v>0.2</v>
      </c>
      <c r="L73" s="52">
        <f t="shared" si="17"/>
        <v>1627.8780000000002</v>
      </c>
      <c r="M73" s="52">
        <f t="shared" si="18"/>
        <v>9767.268</v>
      </c>
      <c r="N73" s="53">
        <v>0.2</v>
      </c>
      <c r="O73" s="52">
        <f t="shared" si="15"/>
        <v>12209.084999999999</v>
      </c>
      <c r="P73" s="1">
        <f t="shared" si="16"/>
        <v>12210</v>
      </c>
    </row>
    <row r="74" spans="2:16" x14ac:dyDescent="0.25">
      <c r="B74" s="50" t="s">
        <v>2134</v>
      </c>
      <c r="C74" s="51" t="s">
        <v>2135</v>
      </c>
      <c r="D74" s="51" t="s">
        <v>1878</v>
      </c>
      <c r="E74" s="1">
        <v>4720</v>
      </c>
      <c r="F74" s="1">
        <v>0.05</v>
      </c>
      <c r="G74" s="1">
        <v>0.13</v>
      </c>
      <c r="H74" s="1">
        <f t="shared" si="12"/>
        <v>236</v>
      </c>
      <c r="I74" s="52">
        <f t="shared" si="13"/>
        <v>644.28</v>
      </c>
      <c r="J74" s="52">
        <f t="shared" si="14"/>
        <v>5600.28</v>
      </c>
      <c r="K74" s="53">
        <v>0.2</v>
      </c>
      <c r="L74" s="52">
        <f t="shared" si="17"/>
        <v>1120.056</v>
      </c>
      <c r="M74" s="52">
        <f t="shared" si="18"/>
        <v>6720.3359999999993</v>
      </c>
      <c r="N74" s="53">
        <v>0.2</v>
      </c>
      <c r="O74" s="52">
        <f t="shared" si="15"/>
        <v>8400.4199999999983</v>
      </c>
      <c r="P74" s="1">
        <f t="shared" si="16"/>
        <v>8400</v>
      </c>
    </row>
    <row r="75" spans="2:16" x14ac:dyDescent="0.25">
      <c r="B75" s="50" t="s">
        <v>2117</v>
      </c>
      <c r="C75" s="51" t="s">
        <v>2136</v>
      </c>
      <c r="D75" s="51" t="s">
        <v>1878</v>
      </c>
      <c r="E75" s="1">
        <v>7280</v>
      </c>
      <c r="F75" s="1">
        <v>0.05</v>
      </c>
      <c r="G75" s="1">
        <v>0.13</v>
      </c>
      <c r="H75" s="1">
        <f t="shared" si="12"/>
        <v>364</v>
      </c>
      <c r="I75" s="52">
        <f t="shared" si="13"/>
        <v>993.72</v>
      </c>
      <c r="J75" s="52">
        <f t="shared" si="14"/>
        <v>8637.7199999999993</v>
      </c>
      <c r="K75" s="53">
        <v>0.2</v>
      </c>
      <c r="L75" s="52">
        <f t="shared" si="17"/>
        <v>1727.5439999999999</v>
      </c>
      <c r="M75" s="52">
        <f t="shared" si="18"/>
        <v>10365.263999999999</v>
      </c>
      <c r="N75" s="53">
        <v>0.2</v>
      </c>
      <c r="O75" s="52">
        <f t="shared" si="15"/>
        <v>12956.579999999998</v>
      </c>
      <c r="P75" s="1">
        <f t="shared" si="16"/>
        <v>12960</v>
      </c>
    </row>
    <row r="76" spans="2:16" x14ac:dyDescent="0.25">
      <c r="B76" s="133" t="s">
        <v>2137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5"/>
    </row>
    <row r="77" spans="2:16" x14ac:dyDescent="0.25">
      <c r="B77" s="50" t="s">
        <v>2138</v>
      </c>
      <c r="C77" s="51" t="s">
        <v>2139</v>
      </c>
      <c r="D77" s="51" t="s">
        <v>1878</v>
      </c>
      <c r="E77" s="1">
        <v>3240</v>
      </c>
      <c r="F77" s="1">
        <v>0.05</v>
      </c>
      <c r="G77" s="1">
        <v>0.13</v>
      </c>
      <c r="H77" s="1">
        <f t="shared" ref="H77:H101" si="19">F77*E77</f>
        <v>162</v>
      </c>
      <c r="I77" s="52">
        <f t="shared" ref="I77:I101" si="20">G77*(E77+H77)</f>
        <v>442.26</v>
      </c>
      <c r="J77" s="52">
        <f t="shared" ref="J77:J101" si="21">E77+H77+I77</f>
        <v>3844.26</v>
      </c>
      <c r="K77" s="53">
        <v>0.2</v>
      </c>
      <c r="L77" s="52">
        <f t="shared" si="17"/>
        <v>768.85200000000009</v>
      </c>
      <c r="M77" s="52">
        <f t="shared" si="18"/>
        <v>4613.1120000000001</v>
      </c>
      <c r="N77" s="53">
        <v>0.2</v>
      </c>
      <c r="O77" s="52">
        <f t="shared" ref="O77:O101" si="22">$M77/(1-N77)</f>
        <v>5766.3899999999994</v>
      </c>
      <c r="P77" s="1">
        <f t="shared" ref="P77:P101" si="23">MROUND(O77,10)</f>
        <v>5770</v>
      </c>
    </row>
    <row r="78" spans="2:16" x14ac:dyDescent="0.25">
      <c r="B78" s="50" t="s">
        <v>2140</v>
      </c>
      <c r="C78" s="51" t="s">
        <v>2141</v>
      </c>
      <c r="D78" s="51" t="s">
        <v>1878</v>
      </c>
      <c r="E78" s="1">
        <v>4520</v>
      </c>
      <c r="F78" s="1">
        <v>0.05</v>
      </c>
      <c r="G78" s="1">
        <v>0.13</v>
      </c>
      <c r="H78" s="1">
        <f t="shared" si="19"/>
        <v>226</v>
      </c>
      <c r="I78" s="52">
        <f t="shared" si="20"/>
        <v>616.98</v>
      </c>
      <c r="J78" s="52">
        <f t="shared" si="21"/>
        <v>5362.98</v>
      </c>
      <c r="K78" s="53">
        <v>0.2</v>
      </c>
      <c r="L78" s="52">
        <f t="shared" si="17"/>
        <v>1072.596</v>
      </c>
      <c r="M78" s="52">
        <f t="shared" si="18"/>
        <v>6435.5759999999991</v>
      </c>
      <c r="N78" s="53">
        <v>0.2</v>
      </c>
      <c r="O78" s="52">
        <f t="shared" si="22"/>
        <v>8044.4699999999984</v>
      </c>
      <c r="P78" s="1">
        <f t="shared" si="23"/>
        <v>8040</v>
      </c>
    </row>
    <row r="79" spans="2:16" x14ac:dyDescent="0.25">
      <c r="B79" s="50" t="s">
        <v>2142</v>
      </c>
      <c r="C79" s="51" t="s">
        <v>2143</v>
      </c>
      <c r="D79" s="51" t="s">
        <v>1878</v>
      </c>
      <c r="E79" s="1">
        <v>5900</v>
      </c>
      <c r="F79" s="1">
        <v>0.05</v>
      </c>
      <c r="G79" s="1">
        <v>0.13</v>
      </c>
      <c r="H79" s="1">
        <f t="shared" si="19"/>
        <v>295</v>
      </c>
      <c r="I79" s="52">
        <f t="shared" si="20"/>
        <v>805.35</v>
      </c>
      <c r="J79" s="52">
        <f t="shared" si="21"/>
        <v>7000.35</v>
      </c>
      <c r="K79" s="53">
        <v>0.2</v>
      </c>
      <c r="L79" s="52">
        <f t="shared" si="17"/>
        <v>1400.0700000000002</v>
      </c>
      <c r="M79" s="52">
        <f t="shared" si="18"/>
        <v>8400.42</v>
      </c>
      <c r="N79" s="53">
        <v>0.2</v>
      </c>
      <c r="O79" s="52">
        <f t="shared" si="22"/>
        <v>10500.525</v>
      </c>
      <c r="P79" s="1">
        <f t="shared" si="23"/>
        <v>10500</v>
      </c>
    </row>
    <row r="80" spans="2:16" x14ac:dyDescent="0.25">
      <c r="B80" s="50" t="s">
        <v>2144</v>
      </c>
      <c r="C80" s="51" t="s">
        <v>2145</v>
      </c>
      <c r="D80" s="51" t="s">
        <v>1878</v>
      </c>
      <c r="E80" s="1">
        <v>10600</v>
      </c>
      <c r="F80" s="1">
        <v>0.05</v>
      </c>
      <c r="G80" s="1">
        <v>0.13</v>
      </c>
      <c r="H80" s="1">
        <f t="shared" si="19"/>
        <v>530</v>
      </c>
      <c r="I80" s="52">
        <f t="shared" si="20"/>
        <v>1446.9</v>
      </c>
      <c r="J80" s="52">
        <f t="shared" si="21"/>
        <v>12576.9</v>
      </c>
      <c r="K80" s="53">
        <v>0.2</v>
      </c>
      <c r="L80" s="52">
        <f t="shared" si="17"/>
        <v>2515.38</v>
      </c>
      <c r="M80" s="52">
        <f t="shared" si="18"/>
        <v>15092.279999999999</v>
      </c>
      <c r="N80" s="53">
        <v>0.2</v>
      </c>
      <c r="O80" s="52">
        <f t="shared" si="22"/>
        <v>18865.349999999999</v>
      </c>
      <c r="P80" s="1">
        <f t="shared" si="23"/>
        <v>18870</v>
      </c>
    </row>
    <row r="81" spans="2:16" x14ac:dyDescent="0.25">
      <c r="B81" s="50" t="s">
        <v>2146</v>
      </c>
      <c r="C81" s="51" t="s">
        <v>2147</v>
      </c>
      <c r="D81" s="51" t="s">
        <v>1878</v>
      </c>
      <c r="E81" s="1">
        <v>13520</v>
      </c>
      <c r="F81" s="1">
        <v>0.05</v>
      </c>
      <c r="G81" s="1">
        <v>0.13</v>
      </c>
      <c r="H81" s="1">
        <f t="shared" si="19"/>
        <v>676</v>
      </c>
      <c r="I81" s="52">
        <f t="shared" si="20"/>
        <v>1845.48</v>
      </c>
      <c r="J81" s="52">
        <f t="shared" si="21"/>
        <v>16041.48</v>
      </c>
      <c r="K81" s="53">
        <v>0.2</v>
      </c>
      <c r="L81" s="52">
        <f t="shared" si="17"/>
        <v>3208.2960000000003</v>
      </c>
      <c r="M81" s="52">
        <f t="shared" si="18"/>
        <v>19249.775999999998</v>
      </c>
      <c r="N81" s="53">
        <v>0.2</v>
      </c>
      <c r="O81" s="52">
        <f t="shared" si="22"/>
        <v>24062.219999999998</v>
      </c>
      <c r="P81" s="1">
        <f t="shared" si="23"/>
        <v>24060</v>
      </c>
    </row>
    <row r="82" spans="2:16" x14ac:dyDescent="0.25">
      <c r="B82" s="50" t="s">
        <v>2148</v>
      </c>
      <c r="C82" s="51" t="s">
        <v>2149</v>
      </c>
      <c r="D82" s="51" t="s">
        <v>1878</v>
      </c>
      <c r="E82" s="1">
        <v>9040</v>
      </c>
      <c r="F82" s="1">
        <v>0.05</v>
      </c>
      <c r="G82" s="1">
        <v>0.13</v>
      </c>
      <c r="H82" s="1">
        <f t="shared" si="19"/>
        <v>452</v>
      </c>
      <c r="I82" s="52">
        <f t="shared" si="20"/>
        <v>1233.96</v>
      </c>
      <c r="J82" s="52">
        <f t="shared" si="21"/>
        <v>10725.96</v>
      </c>
      <c r="K82" s="53">
        <v>0.2</v>
      </c>
      <c r="L82" s="52">
        <f t="shared" si="17"/>
        <v>2145.192</v>
      </c>
      <c r="M82" s="52">
        <f t="shared" si="18"/>
        <v>12871.151999999998</v>
      </c>
      <c r="N82" s="53">
        <v>0.2</v>
      </c>
      <c r="O82" s="52">
        <f t="shared" si="22"/>
        <v>16088.939999999997</v>
      </c>
      <c r="P82" s="1">
        <f t="shared" si="23"/>
        <v>16090</v>
      </c>
    </row>
    <row r="83" spans="2:16" x14ac:dyDescent="0.25">
      <c r="B83" s="50" t="s">
        <v>2150</v>
      </c>
      <c r="C83" s="51" t="s">
        <v>2151</v>
      </c>
      <c r="D83" s="51" t="s">
        <v>1878</v>
      </c>
      <c r="E83" s="1">
        <v>4360</v>
      </c>
      <c r="F83" s="1">
        <v>0.05</v>
      </c>
      <c r="G83" s="1">
        <v>0.13</v>
      </c>
      <c r="H83" s="1">
        <f t="shared" si="19"/>
        <v>218</v>
      </c>
      <c r="I83" s="52">
        <f t="shared" si="20"/>
        <v>595.14</v>
      </c>
      <c r="J83" s="52">
        <f t="shared" si="21"/>
        <v>5173.1400000000003</v>
      </c>
      <c r="K83" s="53">
        <v>0.2</v>
      </c>
      <c r="L83" s="52">
        <f t="shared" si="17"/>
        <v>1034.6280000000002</v>
      </c>
      <c r="M83" s="52">
        <f t="shared" si="18"/>
        <v>6207.768</v>
      </c>
      <c r="N83" s="53">
        <v>0.2</v>
      </c>
      <c r="O83" s="52">
        <f t="shared" si="22"/>
        <v>7759.71</v>
      </c>
      <c r="P83" s="1">
        <f t="shared" si="23"/>
        <v>7760</v>
      </c>
    </row>
    <row r="84" spans="2:16" x14ac:dyDescent="0.25">
      <c r="B84" s="50" t="s">
        <v>2152</v>
      </c>
      <c r="C84" s="51" t="s">
        <v>2153</v>
      </c>
      <c r="D84" s="51" t="s">
        <v>1878</v>
      </c>
      <c r="E84" s="1">
        <v>3640</v>
      </c>
      <c r="F84" s="1">
        <v>0.05</v>
      </c>
      <c r="G84" s="1">
        <v>0.13</v>
      </c>
      <c r="H84" s="1">
        <f t="shared" si="19"/>
        <v>182</v>
      </c>
      <c r="I84" s="52">
        <f t="shared" si="20"/>
        <v>496.86</v>
      </c>
      <c r="J84" s="52">
        <f t="shared" si="21"/>
        <v>4318.8599999999997</v>
      </c>
      <c r="K84" s="53">
        <v>0.2</v>
      </c>
      <c r="L84" s="52">
        <f t="shared" si="17"/>
        <v>863.77199999999993</v>
      </c>
      <c r="M84" s="52">
        <f t="shared" si="18"/>
        <v>5182.6319999999996</v>
      </c>
      <c r="N84" s="53">
        <v>0.2</v>
      </c>
      <c r="O84" s="52">
        <f t="shared" si="22"/>
        <v>6478.2899999999991</v>
      </c>
      <c r="P84" s="1">
        <f t="shared" si="23"/>
        <v>6480</v>
      </c>
    </row>
    <row r="85" spans="2:16" x14ac:dyDescent="0.25">
      <c r="B85" s="54" t="s">
        <v>2154</v>
      </c>
      <c r="C85" s="1" t="s">
        <v>2155</v>
      </c>
      <c r="D85" s="1" t="s">
        <v>1878</v>
      </c>
      <c r="E85" s="1">
        <v>3880</v>
      </c>
      <c r="F85" s="1">
        <v>0.05</v>
      </c>
      <c r="G85" s="1">
        <v>0.13</v>
      </c>
      <c r="H85" s="1">
        <f t="shared" si="19"/>
        <v>194</v>
      </c>
      <c r="I85" s="52">
        <f t="shared" si="20"/>
        <v>529.62</v>
      </c>
      <c r="J85" s="52">
        <f t="shared" si="21"/>
        <v>4603.62</v>
      </c>
      <c r="K85" s="53">
        <v>0.15</v>
      </c>
      <c r="L85" s="52">
        <f t="shared" si="17"/>
        <v>690.54300000000001</v>
      </c>
      <c r="M85" s="52">
        <f t="shared" si="18"/>
        <v>5294.1629999999996</v>
      </c>
      <c r="N85" s="53">
        <v>0.2</v>
      </c>
      <c r="O85" s="52">
        <f t="shared" si="22"/>
        <v>6617.7037499999988</v>
      </c>
      <c r="P85" s="1">
        <f t="shared" si="23"/>
        <v>6620</v>
      </c>
    </row>
    <row r="86" spans="2:16" x14ac:dyDescent="0.25">
      <c r="B86" s="50" t="s">
        <v>2156</v>
      </c>
      <c r="C86" s="51" t="s">
        <v>2157</v>
      </c>
      <c r="D86" s="51" t="s">
        <v>1878</v>
      </c>
      <c r="E86" s="1">
        <v>7460</v>
      </c>
      <c r="F86" s="1">
        <v>0.05</v>
      </c>
      <c r="G86" s="1">
        <v>0.13</v>
      </c>
      <c r="H86" s="1">
        <f t="shared" si="19"/>
        <v>373</v>
      </c>
      <c r="I86" s="52">
        <f t="shared" si="20"/>
        <v>1018.2900000000001</v>
      </c>
      <c r="J86" s="52">
        <f t="shared" si="21"/>
        <v>8851.2900000000009</v>
      </c>
      <c r="K86" s="53">
        <v>0.2</v>
      </c>
      <c r="L86" s="52">
        <f t="shared" si="17"/>
        <v>1770.2580000000003</v>
      </c>
      <c r="M86" s="52">
        <f t="shared" si="18"/>
        <v>10621.548000000001</v>
      </c>
      <c r="N86" s="53">
        <v>0.2</v>
      </c>
      <c r="O86" s="52">
        <f t="shared" si="22"/>
        <v>13276.934999999999</v>
      </c>
      <c r="P86" s="1">
        <f t="shared" si="23"/>
        <v>13280</v>
      </c>
    </row>
    <row r="87" spans="2:16" x14ac:dyDescent="0.25">
      <c r="B87" s="50" t="s">
        <v>2158</v>
      </c>
      <c r="C87" s="51" t="s">
        <v>2159</v>
      </c>
      <c r="D87" s="51" t="s">
        <v>1878</v>
      </c>
      <c r="E87" s="1">
        <v>8900</v>
      </c>
      <c r="F87" s="1">
        <v>0.05</v>
      </c>
      <c r="G87" s="1">
        <v>0.13</v>
      </c>
      <c r="H87" s="1">
        <f t="shared" si="19"/>
        <v>445</v>
      </c>
      <c r="I87" s="52">
        <f t="shared" si="20"/>
        <v>1214.8500000000001</v>
      </c>
      <c r="J87" s="52">
        <f t="shared" si="21"/>
        <v>10559.85</v>
      </c>
      <c r="K87" s="53">
        <v>0.2</v>
      </c>
      <c r="L87" s="52">
        <f t="shared" si="17"/>
        <v>2111.9700000000003</v>
      </c>
      <c r="M87" s="52">
        <f t="shared" si="18"/>
        <v>12671.82</v>
      </c>
      <c r="N87" s="53">
        <v>0.2</v>
      </c>
      <c r="O87" s="52">
        <f t="shared" si="22"/>
        <v>15839.775</v>
      </c>
      <c r="P87" s="1">
        <f t="shared" si="23"/>
        <v>15840</v>
      </c>
    </row>
    <row r="88" spans="2:16" x14ac:dyDescent="0.25">
      <c r="B88" s="50" t="s">
        <v>2160</v>
      </c>
      <c r="C88" s="51" t="s">
        <v>2161</v>
      </c>
      <c r="D88" s="51" t="s">
        <v>1878</v>
      </c>
      <c r="E88" s="1">
        <v>8450</v>
      </c>
      <c r="F88" s="1">
        <v>0.05</v>
      </c>
      <c r="G88" s="1">
        <v>0.13</v>
      </c>
      <c r="H88" s="1">
        <f t="shared" si="19"/>
        <v>422.5</v>
      </c>
      <c r="I88" s="52">
        <f t="shared" si="20"/>
        <v>1153.425</v>
      </c>
      <c r="J88" s="52">
        <f t="shared" si="21"/>
        <v>10025.924999999999</v>
      </c>
      <c r="K88" s="53">
        <v>0.2</v>
      </c>
      <c r="L88" s="52">
        <f t="shared" si="17"/>
        <v>2005.1849999999999</v>
      </c>
      <c r="M88" s="52">
        <f t="shared" si="18"/>
        <v>12031.109999999999</v>
      </c>
      <c r="N88" s="53">
        <v>0.2</v>
      </c>
      <c r="O88" s="52">
        <f t="shared" si="22"/>
        <v>15038.887499999997</v>
      </c>
      <c r="P88" s="1">
        <f t="shared" si="23"/>
        <v>15040</v>
      </c>
    </row>
    <row r="89" spans="2:16" x14ac:dyDescent="0.25">
      <c r="B89" s="50" t="s">
        <v>2162</v>
      </c>
      <c r="C89" s="51" t="s">
        <v>2163</v>
      </c>
      <c r="D89" s="51" t="s">
        <v>1878</v>
      </c>
      <c r="E89" s="1">
        <v>10100</v>
      </c>
      <c r="F89" s="1">
        <v>0.05</v>
      </c>
      <c r="G89" s="1">
        <v>0.13</v>
      </c>
      <c r="H89" s="1">
        <f t="shared" si="19"/>
        <v>505</v>
      </c>
      <c r="I89" s="52">
        <f t="shared" si="20"/>
        <v>1378.65</v>
      </c>
      <c r="J89" s="52">
        <f t="shared" si="21"/>
        <v>11983.65</v>
      </c>
      <c r="K89" s="53">
        <v>0.2</v>
      </c>
      <c r="L89" s="52">
        <f t="shared" si="17"/>
        <v>2396.73</v>
      </c>
      <c r="M89" s="52">
        <f t="shared" si="18"/>
        <v>14380.38</v>
      </c>
      <c r="N89" s="53">
        <v>0.2</v>
      </c>
      <c r="O89" s="52">
        <f t="shared" si="22"/>
        <v>17975.474999999999</v>
      </c>
      <c r="P89" s="1">
        <f t="shared" si="23"/>
        <v>17980</v>
      </c>
    </row>
    <row r="90" spans="2:16" x14ac:dyDescent="0.25">
      <c r="B90" s="50" t="s">
        <v>2164</v>
      </c>
      <c r="C90" s="51" t="s">
        <v>2165</v>
      </c>
      <c r="D90" s="51" t="s">
        <v>1878</v>
      </c>
      <c r="E90" s="1">
        <v>7930</v>
      </c>
      <c r="F90" s="1">
        <v>0.05</v>
      </c>
      <c r="G90" s="1">
        <v>0.13</v>
      </c>
      <c r="H90" s="1">
        <f t="shared" si="19"/>
        <v>396.5</v>
      </c>
      <c r="I90" s="52">
        <f t="shared" si="20"/>
        <v>1082.4449999999999</v>
      </c>
      <c r="J90" s="52">
        <f t="shared" si="21"/>
        <v>9408.9449999999997</v>
      </c>
      <c r="K90" s="53">
        <v>0.2</v>
      </c>
      <c r="L90" s="52">
        <f t="shared" si="17"/>
        <v>1881.789</v>
      </c>
      <c r="M90" s="52">
        <f t="shared" si="18"/>
        <v>11290.734</v>
      </c>
      <c r="N90" s="53">
        <v>0.2</v>
      </c>
      <c r="O90" s="52">
        <f t="shared" si="22"/>
        <v>14113.4175</v>
      </c>
      <c r="P90" s="1">
        <f t="shared" si="23"/>
        <v>14110</v>
      </c>
    </row>
    <row r="91" spans="2:16" x14ac:dyDescent="0.25">
      <c r="B91" s="54" t="s">
        <v>2166</v>
      </c>
      <c r="C91" s="1" t="s">
        <v>2167</v>
      </c>
      <c r="D91" s="1" t="s">
        <v>1878</v>
      </c>
      <c r="E91" s="1">
        <v>7130</v>
      </c>
      <c r="F91" s="1">
        <v>0.05</v>
      </c>
      <c r="G91" s="1">
        <v>0.13</v>
      </c>
      <c r="H91" s="1">
        <f t="shared" si="19"/>
        <v>356.5</v>
      </c>
      <c r="I91" s="52">
        <f t="shared" si="20"/>
        <v>973.245</v>
      </c>
      <c r="J91" s="52">
        <f t="shared" si="21"/>
        <v>8459.7450000000008</v>
      </c>
      <c r="K91" s="53">
        <v>0.15</v>
      </c>
      <c r="L91" s="52">
        <f t="shared" si="17"/>
        <v>1268.9617500000002</v>
      </c>
      <c r="M91" s="52">
        <f t="shared" si="18"/>
        <v>9728.7067500000012</v>
      </c>
      <c r="N91" s="53">
        <v>0.2</v>
      </c>
      <c r="O91" s="52">
        <f t="shared" si="22"/>
        <v>12160.883437500001</v>
      </c>
      <c r="P91" s="1">
        <f t="shared" si="23"/>
        <v>12160</v>
      </c>
    </row>
    <row r="92" spans="2:16" x14ac:dyDescent="0.25">
      <c r="B92" s="50" t="s">
        <v>2138</v>
      </c>
      <c r="C92" s="51" t="s">
        <v>2168</v>
      </c>
      <c r="D92" s="51" t="s">
        <v>1878</v>
      </c>
      <c r="E92" s="1">
        <v>3910</v>
      </c>
      <c r="F92" s="1">
        <v>0.05</v>
      </c>
      <c r="G92" s="1">
        <v>0.13</v>
      </c>
      <c r="H92" s="1">
        <f t="shared" si="19"/>
        <v>195.5</v>
      </c>
      <c r="I92" s="52">
        <f t="shared" si="20"/>
        <v>533.71500000000003</v>
      </c>
      <c r="J92" s="52">
        <f t="shared" si="21"/>
        <v>4639.2150000000001</v>
      </c>
      <c r="K92" s="53">
        <v>0.2</v>
      </c>
      <c r="L92" s="52">
        <f t="shared" si="17"/>
        <v>927.84300000000007</v>
      </c>
      <c r="M92" s="52">
        <f t="shared" si="18"/>
        <v>5567.058</v>
      </c>
      <c r="N92" s="53">
        <v>0.2</v>
      </c>
      <c r="O92" s="52">
        <f t="shared" si="22"/>
        <v>6958.8224999999993</v>
      </c>
      <c r="P92" s="1">
        <f t="shared" si="23"/>
        <v>6960</v>
      </c>
    </row>
    <row r="93" spans="2:16" x14ac:dyDescent="0.25">
      <c r="B93" s="50" t="s">
        <v>2169</v>
      </c>
      <c r="C93" s="51" t="s">
        <v>2170</v>
      </c>
      <c r="D93" s="51" t="s">
        <v>1878</v>
      </c>
      <c r="E93" s="1">
        <v>5530</v>
      </c>
      <c r="F93" s="1">
        <v>0.05</v>
      </c>
      <c r="G93" s="1">
        <v>0.13</v>
      </c>
      <c r="H93" s="1">
        <f t="shared" si="19"/>
        <v>276.5</v>
      </c>
      <c r="I93" s="52">
        <f t="shared" si="20"/>
        <v>754.84500000000003</v>
      </c>
      <c r="J93" s="52">
        <f t="shared" si="21"/>
        <v>6561.3450000000003</v>
      </c>
      <c r="K93" s="53">
        <v>0.2</v>
      </c>
      <c r="L93" s="52">
        <f t="shared" si="17"/>
        <v>1312.2690000000002</v>
      </c>
      <c r="M93" s="52">
        <f t="shared" si="18"/>
        <v>7873.6140000000005</v>
      </c>
      <c r="N93" s="53">
        <v>0.2</v>
      </c>
      <c r="O93" s="52">
        <f t="shared" si="22"/>
        <v>9842.0174999999999</v>
      </c>
      <c r="P93" s="1">
        <f t="shared" si="23"/>
        <v>9840</v>
      </c>
    </row>
    <row r="94" spans="2:16" x14ac:dyDescent="0.25">
      <c r="B94" s="50" t="s">
        <v>2171</v>
      </c>
      <c r="C94" s="51" t="s">
        <v>2172</v>
      </c>
      <c r="D94" s="51" t="s">
        <v>1878</v>
      </c>
      <c r="E94" s="1">
        <v>6000</v>
      </c>
      <c r="F94" s="1">
        <v>0.05</v>
      </c>
      <c r="G94" s="1">
        <v>0.13</v>
      </c>
      <c r="H94" s="1">
        <f t="shared" si="19"/>
        <v>300</v>
      </c>
      <c r="I94" s="52">
        <f t="shared" si="20"/>
        <v>819</v>
      </c>
      <c r="J94" s="52">
        <f t="shared" si="21"/>
        <v>7119</v>
      </c>
      <c r="K94" s="53">
        <v>0.2</v>
      </c>
      <c r="L94" s="52">
        <f t="shared" si="17"/>
        <v>1423.8000000000002</v>
      </c>
      <c r="M94" s="52">
        <f t="shared" si="18"/>
        <v>8542.7999999999993</v>
      </c>
      <c r="N94" s="53">
        <v>0.2</v>
      </c>
      <c r="O94" s="52">
        <f t="shared" si="22"/>
        <v>10678.499999999998</v>
      </c>
      <c r="P94" s="1">
        <f t="shared" si="23"/>
        <v>10680</v>
      </c>
    </row>
    <row r="95" spans="2:16" x14ac:dyDescent="0.25">
      <c r="B95" s="50" t="s">
        <v>2173</v>
      </c>
      <c r="C95" s="51" t="s">
        <v>2174</v>
      </c>
      <c r="D95" s="51" t="s">
        <v>1878</v>
      </c>
      <c r="E95" s="1">
        <v>12610</v>
      </c>
      <c r="F95" s="1">
        <v>0.05</v>
      </c>
      <c r="G95" s="1">
        <v>0.13</v>
      </c>
      <c r="H95" s="1">
        <f t="shared" si="19"/>
        <v>630.5</v>
      </c>
      <c r="I95" s="52">
        <f t="shared" si="20"/>
        <v>1721.2650000000001</v>
      </c>
      <c r="J95" s="52">
        <f t="shared" si="21"/>
        <v>14961.764999999999</v>
      </c>
      <c r="K95" s="53">
        <v>0.2</v>
      </c>
      <c r="L95" s="52">
        <f t="shared" si="17"/>
        <v>2992.3530000000001</v>
      </c>
      <c r="M95" s="52">
        <f t="shared" si="18"/>
        <v>17954.117999999999</v>
      </c>
      <c r="N95" s="53">
        <v>0.2</v>
      </c>
      <c r="O95" s="52">
        <f t="shared" si="22"/>
        <v>22442.647499999995</v>
      </c>
      <c r="P95" s="1">
        <f t="shared" si="23"/>
        <v>22440</v>
      </c>
    </row>
    <row r="96" spans="2:16" x14ac:dyDescent="0.25">
      <c r="B96" s="50" t="s">
        <v>2175</v>
      </c>
      <c r="C96" s="51" t="s">
        <v>2176</v>
      </c>
      <c r="D96" s="51" t="s">
        <v>1878</v>
      </c>
      <c r="E96" s="1">
        <v>10790</v>
      </c>
      <c r="F96" s="1">
        <v>0.05</v>
      </c>
      <c r="G96" s="1">
        <v>0.13</v>
      </c>
      <c r="H96" s="1">
        <f t="shared" si="19"/>
        <v>539.5</v>
      </c>
      <c r="I96" s="52">
        <f t="shared" si="20"/>
        <v>1472.835</v>
      </c>
      <c r="J96" s="52">
        <f t="shared" si="21"/>
        <v>12802.334999999999</v>
      </c>
      <c r="K96" s="53">
        <v>0.2</v>
      </c>
      <c r="L96" s="52">
        <f t="shared" si="17"/>
        <v>2560.4670000000001</v>
      </c>
      <c r="M96" s="52">
        <f t="shared" si="18"/>
        <v>15362.802</v>
      </c>
      <c r="N96" s="53">
        <v>0.2</v>
      </c>
      <c r="O96" s="52">
        <f t="shared" si="22"/>
        <v>19203.502499999999</v>
      </c>
      <c r="P96" s="1">
        <f t="shared" si="23"/>
        <v>19200</v>
      </c>
    </row>
    <row r="97" spans="2:16" x14ac:dyDescent="0.25">
      <c r="B97" s="50" t="s">
        <v>2177</v>
      </c>
      <c r="C97" s="51" t="s">
        <v>2178</v>
      </c>
      <c r="D97" s="51" t="s">
        <v>1878</v>
      </c>
      <c r="E97" s="1">
        <v>5700</v>
      </c>
      <c r="F97" s="1">
        <v>0.05</v>
      </c>
      <c r="G97" s="1">
        <v>0.13</v>
      </c>
      <c r="H97" s="1">
        <f t="shared" si="19"/>
        <v>285</v>
      </c>
      <c r="I97" s="52">
        <f t="shared" si="20"/>
        <v>778.05000000000007</v>
      </c>
      <c r="J97" s="52">
        <f t="shared" si="21"/>
        <v>6763.05</v>
      </c>
      <c r="K97" s="53">
        <v>0.2</v>
      </c>
      <c r="L97" s="52">
        <f t="shared" si="17"/>
        <v>1352.6100000000001</v>
      </c>
      <c r="M97" s="52">
        <f t="shared" si="18"/>
        <v>8115.66</v>
      </c>
      <c r="N97" s="53">
        <v>0.2</v>
      </c>
      <c r="O97" s="52">
        <f t="shared" si="22"/>
        <v>10144.574999999999</v>
      </c>
      <c r="P97" s="1">
        <f t="shared" si="23"/>
        <v>10140</v>
      </c>
    </row>
    <row r="98" spans="2:16" x14ac:dyDescent="0.25">
      <c r="B98" s="50" t="s">
        <v>2179</v>
      </c>
      <c r="C98" s="51" t="s">
        <v>2180</v>
      </c>
      <c r="D98" s="51" t="s">
        <v>1878</v>
      </c>
      <c r="E98" s="1">
        <v>4250</v>
      </c>
      <c r="F98" s="1">
        <v>0.05</v>
      </c>
      <c r="G98" s="1">
        <v>0.13</v>
      </c>
      <c r="H98" s="1">
        <f t="shared" si="19"/>
        <v>212.5</v>
      </c>
      <c r="I98" s="52">
        <f t="shared" si="20"/>
        <v>580.125</v>
      </c>
      <c r="J98" s="52">
        <f t="shared" si="21"/>
        <v>5042.625</v>
      </c>
      <c r="K98" s="53">
        <v>0.2</v>
      </c>
      <c r="L98" s="52">
        <f t="shared" si="17"/>
        <v>1008.5250000000001</v>
      </c>
      <c r="M98" s="52">
        <f t="shared" si="18"/>
        <v>6051.15</v>
      </c>
      <c r="N98" s="53">
        <v>0.2</v>
      </c>
      <c r="O98" s="52">
        <f t="shared" si="22"/>
        <v>7563.9374999999991</v>
      </c>
      <c r="P98" s="1">
        <f t="shared" si="23"/>
        <v>7560</v>
      </c>
    </row>
    <row r="99" spans="2:16" x14ac:dyDescent="0.25">
      <c r="B99" s="50" t="s">
        <v>2154</v>
      </c>
      <c r="C99" s="51" t="s">
        <v>2181</v>
      </c>
      <c r="D99" s="51" t="s">
        <v>1878</v>
      </c>
      <c r="E99" s="1">
        <v>7280</v>
      </c>
      <c r="F99" s="1">
        <v>0.05</v>
      </c>
      <c r="G99" s="1">
        <v>0.13</v>
      </c>
      <c r="H99" s="1">
        <f t="shared" si="19"/>
        <v>364</v>
      </c>
      <c r="I99" s="52">
        <f t="shared" si="20"/>
        <v>993.72</v>
      </c>
      <c r="J99" s="52">
        <f t="shared" si="21"/>
        <v>8637.7199999999993</v>
      </c>
      <c r="K99" s="53">
        <v>0.2</v>
      </c>
      <c r="L99" s="52">
        <f t="shared" si="17"/>
        <v>1727.5439999999999</v>
      </c>
      <c r="M99" s="52">
        <f t="shared" si="18"/>
        <v>10365.263999999999</v>
      </c>
      <c r="N99" s="53">
        <v>0.2</v>
      </c>
      <c r="O99" s="52">
        <f t="shared" si="22"/>
        <v>12956.579999999998</v>
      </c>
      <c r="P99" s="1">
        <f t="shared" si="23"/>
        <v>12960</v>
      </c>
    </row>
    <row r="100" spans="2:16" x14ac:dyDescent="0.25">
      <c r="B100" s="50" t="s">
        <v>2182</v>
      </c>
      <c r="C100" s="51" t="s">
        <v>2183</v>
      </c>
      <c r="D100" s="51" t="s">
        <v>1878</v>
      </c>
      <c r="E100" s="1">
        <v>3780</v>
      </c>
      <c r="F100" s="1">
        <v>0.05</v>
      </c>
      <c r="G100" s="1">
        <v>0.13</v>
      </c>
      <c r="H100" s="1">
        <f t="shared" si="19"/>
        <v>189</v>
      </c>
      <c r="I100" s="52">
        <f t="shared" si="20"/>
        <v>515.97</v>
      </c>
      <c r="J100" s="52">
        <f t="shared" si="21"/>
        <v>4484.97</v>
      </c>
      <c r="K100" s="53">
        <v>0.2</v>
      </c>
      <c r="L100" s="52">
        <f>J100*K100</f>
        <v>896.99400000000014</v>
      </c>
      <c r="M100" s="52">
        <f>J100+L100</f>
        <v>5381.9639999999999</v>
      </c>
      <c r="N100" s="53">
        <v>0.2</v>
      </c>
      <c r="O100" s="52">
        <f t="shared" si="22"/>
        <v>6727.4549999999999</v>
      </c>
      <c r="P100" s="1">
        <f t="shared" si="23"/>
        <v>6730</v>
      </c>
    </row>
    <row r="101" spans="2:16" x14ac:dyDescent="0.25">
      <c r="B101" s="50" t="s">
        <v>2184</v>
      </c>
      <c r="C101" s="51" t="s">
        <v>2185</v>
      </c>
      <c r="D101" s="51" t="s">
        <v>1878</v>
      </c>
      <c r="E101" s="1">
        <v>4420</v>
      </c>
      <c r="F101" s="1">
        <v>0.05</v>
      </c>
      <c r="G101" s="1">
        <v>0.13</v>
      </c>
      <c r="H101" s="1">
        <f t="shared" si="19"/>
        <v>221</v>
      </c>
      <c r="I101" s="52">
        <f t="shared" si="20"/>
        <v>603.33000000000004</v>
      </c>
      <c r="J101" s="52">
        <f t="shared" si="21"/>
        <v>5244.33</v>
      </c>
      <c r="K101" s="53">
        <v>0.2</v>
      </c>
      <c r="L101" s="52">
        <f>J101*K101</f>
        <v>1048.866</v>
      </c>
      <c r="M101" s="52">
        <f>J101+L101</f>
        <v>6293.1959999999999</v>
      </c>
      <c r="N101" s="53">
        <v>0.2</v>
      </c>
      <c r="O101" s="52">
        <f t="shared" si="22"/>
        <v>7866.4949999999999</v>
      </c>
      <c r="P101" s="1">
        <f t="shared" si="23"/>
        <v>7870</v>
      </c>
    </row>
    <row r="102" spans="2:16" x14ac:dyDescent="0.25">
      <c r="B102" s="125" t="s">
        <v>2186</v>
      </c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</row>
    <row r="103" spans="2:16" x14ac:dyDescent="0.25">
      <c r="B103" s="50" t="s">
        <v>2187</v>
      </c>
      <c r="C103" s="51" t="s">
        <v>2188</v>
      </c>
      <c r="D103" s="51" t="s">
        <v>2186</v>
      </c>
      <c r="E103" s="1">
        <v>7740</v>
      </c>
      <c r="F103" s="1">
        <v>0.05</v>
      </c>
      <c r="G103" s="1">
        <v>0.13</v>
      </c>
      <c r="H103" s="1">
        <f>F103*E103</f>
        <v>387</v>
      </c>
      <c r="I103" s="52">
        <f>G103*(E103+H103)</f>
        <v>1056.51</v>
      </c>
      <c r="J103" s="52">
        <f>E103+H103+I103</f>
        <v>9183.51</v>
      </c>
      <c r="K103" s="53">
        <v>0.15</v>
      </c>
      <c r="L103" s="52">
        <f>J103*K103</f>
        <v>1377.5264999999999</v>
      </c>
      <c r="M103" s="52">
        <f>J103+L103</f>
        <v>10561.0365</v>
      </c>
      <c r="N103" s="53">
        <v>0.2</v>
      </c>
      <c r="O103" s="52">
        <f>$M103/(1-N103)</f>
        <v>13201.295624999999</v>
      </c>
      <c r="P103" s="1">
        <f>MROUND(O103,10)</f>
        <v>13200</v>
      </c>
    </row>
    <row r="104" spans="2:16" x14ac:dyDescent="0.25">
      <c r="B104" s="50" t="s">
        <v>2189</v>
      </c>
      <c r="C104" s="51" t="s">
        <v>2190</v>
      </c>
      <c r="D104" s="51" t="s">
        <v>2186</v>
      </c>
      <c r="E104" s="1">
        <v>12350</v>
      </c>
      <c r="F104" s="1">
        <v>0.05</v>
      </c>
      <c r="G104" s="1">
        <v>0.13</v>
      </c>
      <c r="H104" s="1">
        <f>F104*E104</f>
        <v>617.5</v>
      </c>
      <c r="I104" s="52">
        <f>G104*(E104+H104)</f>
        <v>1685.7750000000001</v>
      </c>
      <c r="J104" s="52">
        <f>E104+H104+I104</f>
        <v>14653.275</v>
      </c>
      <c r="K104" s="53">
        <v>0.15</v>
      </c>
      <c r="L104" s="52">
        <f>J104*K104</f>
        <v>2197.99125</v>
      </c>
      <c r="M104" s="52">
        <f>J104+L104</f>
        <v>16851.266250000001</v>
      </c>
      <c r="N104" s="53">
        <v>0.2</v>
      </c>
      <c r="O104" s="52">
        <f>$M104/(1-N104)</f>
        <v>21064.082812500001</v>
      </c>
      <c r="P104" s="1">
        <f>MROUND(O104,10)</f>
        <v>21060</v>
      </c>
    </row>
    <row r="105" spans="2:16" x14ac:dyDescent="0.25">
      <c r="B105" s="50" t="s">
        <v>2189</v>
      </c>
      <c r="C105" s="51" t="s">
        <v>2191</v>
      </c>
      <c r="D105" s="51" t="s">
        <v>2186</v>
      </c>
      <c r="E105" s="1">
        <v>14980</v>
      </c>
      <c r="F105" s="1">
        <v>0.05</v>
      </c>
      <c r="G105" s="1">
        <v>0.13</v>
      </c>
      <c r="H105" s="1">
        <f>F105*E105</f>
        <v>749</v>
      </c>
      <c r="I105" s="52">
        <f>G105*(E105+H105)</f>
        <v>2044.77</v>
      </c>
      <c r="J105" s="52">
        <f>E105+H105+I105</f>
        <v>17773.77</v>
      </c>
      <c r="K105" s="53">
        <v>0.15</v>
      </c>
      <c r="L105" s="52">
        <f>J105*K105</f>
        <v>2666.0655000000002</v>
      </c>
      <c r="M105" s="52">
        <f>J105+L105</f>
        <v>20439.835500000001</v>
      </c>
      <c r="N105" s="53">
        <v>0.2</v>
      </c>
      <c r="O105" s="52">
        <f>$M105/(1-N105)</f>
        <v>25549.794375000001</v>
      </c>
      <c r="P105" s="1">
        <f>MROUND(O105,10)</f>
        <v>25550</v>
      </c>
    </row>
    <row r="106" spans="2:16" x14ac:dyDescent="0.25">
      <c r="B106" s="125" t="s">
        <v>2192</v>
      </c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</row>
    <row r="107" spans="2:16" x14ac:dyDescent="0.25">
      <c r="B107" s="50" t="s">
        <v>2193</v>
      </c>
      <c r="C107" s="51" t="s">
        <v>2194</v>
      </c>
      <c r="D107" s="51" t="s">
        <v>2192</v>
      </c>
      <c r="E107" s="1">
        <v>11930</v>
      </c>
      <c r="F107" s="1">
        <v>0.05</v>
      </c>
      <c r="G107" s="1">
        <v>0.13</v>
      </c>
      <c r="H107" s="1">
        <f>F107*E107</f>
        <v>596.5</v>
      </c>
      <c r="I107" s="52">
        <f>G107*(E107+H107)</f>
        <v>1628.4450000000002</v>
      </c>
      <c r="J107" s="52">
        <f>E107+H107+I107</f>
        <v>14154.945</v>
      </c>
      <c r="K107" s="53">
        <v>0.15</v>
      </c>
      <c r="L107" s="52">
        <f>J107*K107</f>
        <v>2123.2417499999997</v>
      </c>
      <c r="M107" s="52">
        <f>J107+L107</f>
        <v>16278.186749999999</v>
      </c>
      <c r="N107" s="53">
        <v>0.2</v>
      </c>
      <c r="O107" s="52">
        <f>$M107/(1-N107)</f>
        <v>20347.733437499999</v>
      </c>
      <c r="P107" s="1">
        <f>MROUND(O107,10)</f>
        <v>20350</v>
      </c>
    </row>
    <row r="108" spans="2:16" x14ac:dyDescent="0.25">
      <c r="B108" s="50" t="s">
        <v>2195</v>
      </c>
      <c r="C108" s="51" t="s">
        <v>2196</v>
      </c>
      <c r="D108" s="51" t="s">
        <v>2192</v>
      </c>
      <c r="E108" s="1">
        <v>16110</v>
      </c>
      <c r="F108" s="1">
        <v>0.05</v>
      </c>
      <c r="G108" s="1">
        <v>0.13</v>
      </c>
      <c r="H108" s="1">
        <f>F108*E108</f>
        <v>805.5</v>
      </c>
      <c r="I108" s="52">
        <f>G108*(E108+H108)</f>
        <v>2199.0149999999999</v>
      </c>
      <c r="J108" s="52">
        <f>E108+H108+I108</f>
        <v>19114.514999999999</v>
      </c>
      <c r="K108" s="53">
        <v>0.15</v>
      </c>
      <c r="L108" s="52">
        <f>J108*K108</f>
        <v>2867.1772499999997</v>
      </c>
      <c r="M108" s="52">
        <f>J108+L108</f>
        <v>21981.69225</v>
      </c>
      <c r="N108" s="53">
        <v>0.2</v>
      </c>
      <c r="O108" s="52">
        <f>$M108/(1-N108)</f>
        <v>27477.115312499998</v>
      </c>
      <c r="P108" s="1">
        <f>MROUND(O108,10)</f>
        <v>27480</v>
      </c>
    </row>
    <row r="109" spans="2:16" x14ac:dyDescent="0.25">
      <c r="B109" s="125" t="s">
        <v>2197</v>
      </c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</row>
    <row r="110" spans="2:16" x14ac:dyDescent="0.25">
      <c r="B110" s="50" t="s">
        <v>2198</v>
      </c>
      <c r="C110" s="51" t="s">
        <v>2199</v>
      </c>
      <c r="D110" s="51" t="s">
        <v>2200</v>
      </c>
      <c r="E110" s="1">
        <v>3020</v>
      </c>
      <c r="F110" s="1">
        <v>0.05</v>
      </c>
      <c r="G110" s="1">
        <v>0.13</v>
      </c>
      <c r="H110" s="1">
        <f>F110*E110</f>
        <v>151</v>
      </c>
      <c r="I110" s="52">
        <f>G110*(E110+H110)</f>
        <v>412.23</v>
      </c>
      <c r="J110" s="52">
        <f>E110+H110+I110</f>
        <v>3583.23</v>
      </c>
      <c r="K110" s="53">
        <v>0.15</v>
      </c>
      <c r="L110" s="52">
        <f>J110*K110</f>
        <v>537.48450000000003</v>
      </c>
      <c r="M110" s="52">
        <f>J110+L110</f>
        <v>4120.7145</v>
      </c>
      <c r="N110" s="53">
        <v>0.2</v>
      </c>
      <c r="O110" s="52">
        <f>$M110/(1-N110)</f>
        <v>5150.8931249999996</v>
      </c>
      <c r="P110" s="1">
        <f>MROUND(O110,10)</f>
        <v>5150</v>
      </c>
    </row>
    <row r="111" spans="2:16" x14ac:dyDescent="0.25">
      <c r="B111" s="50" t="s">
        <v>2201</v>
      </c>
      <c r="C111" s="51" t="s">
        <v>2202</v>
      </c>
      <c r="D111" s="51" t="s">
        <v>2197</v>
      </c>
      <c r="E111" s="1">
        <v>2630</v>
      </c>
      <c r="F111" s="1">
        <v>0.05</v>
      </c>
      <c r="G111" s="1">
        <v>0.13</v>
      </c>
      <c r="H111" s="1">
        <f>F111*E111</f>
        <v>131.5</v>
      </c>
      <c r="I111" s="52">
        <f>G111*(E111+H111)</f>
        <v>358.995</v>
      </c>
      <c r="J111" s="52">
        <f>E111+H111+I111</f>
        <v>3120.4949999999999</v>
      </c>
      <c r="K111" s="53">
        <v>0.15</v>
      </c>
      <c r="L111" s="52">
        <f>J111*K111</f>
        <v>468.07424999999995</v>
      </c>
      <c r="M111" s="52">
        <f>J111+L111</f>
        <v>3588.56925</v>
      </c>
      <c r="N111" s="53">
        <v>0.2</v>
      </c>
      <c r="O111" s="52">
        <f>$M111/(1-N111)</f>
        <v>4485.7115624999997</v>
      </c>
      <c r="P111" s="1">
        <f>MROUND(O111,10)</f>
        <v>4490</v>
      </c>
    </row>
    <row r="112" spans="2:16" x14ac:dyDescent="0.25">
      <c r="B112" s="50" t="s">
        <v>2203</v>
      </c>
      <c r="C112" s="51" t="s">
        <v>2204</v>
      </c>
      <c r="D112" s="51" t="s">
        <v>2197</v>
      </c>
      <c r="E112" s="1">
        <v>2810</v>
      </c>
      <c r="F112" s="1">
        <v>0.05</v>
      </c>
      <c r="G112" s="1">
        <v>0.13</v>
      </c>
      <c r="H112" s="1">
        <f>F112*E112</f>
        <v>140.5</v>
      </c>
      <c r="I112" s="52">
        <f>G112*(E112+H112)</f>
        <v>383.565</v>
      </c>
      <c r="J112" s="52">
        <f>E112+H112+I112</f>
        <v>3334.0650000000001</v>
      </c>
      <c r="K112" s="53">
        <v>0.15</v>
      </c>
      <c r="L112" s="52">
        <f>J112*K112</f>
        <v>500.10974999999996</v>
      </c>
      <c r="M112" s="52">
        <f>J112+L112</f>
        <v>3834.1747500000001</v>
      </c>
      <c r="N112" s="53">
        <v>0.2</v>
      </c>
      <c r="O112" s="52">
        <f>$M112/(1-N112)</f>
        <v>4792.7184374999997</v>
      </c>
      <c r="P112" s="1">
        <f>MROUND(O112,10)</f>
        <v>4790</v>
      </c>
    </row>
    <row r="113" spans="2:16" x14ac:dyDescent="0.25">
      <c r="B113" s="125" t="s">
        <v>2205</v>
      </c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</row>
    <row r="114" spans="2:16" x14ac:dyDescent="0.25">
      <c r="B114" s="50" t="s">
        <v>2206</v>
      </c>
      <c r="C114" s="51" t="s">
        <v>2207</v>
      </c>
      <c r="D114" s="51" t="s">
        <v>2205</v>
      </c>
      <c r="E114" s="1">
        <v>29220</v>
      </c>
      <c r="F114" s="1">
        <v>0.05</v>
      </c>
      <c r="G114" s="1">
        <v>0.13</v>
      </c>
      <c r="H114" s="1">
        <f t="shared" ref="H114:H123" si="24">F114*E114</f>
        <v>1461</v>
      </c>
      <c r="I114" s="52">
        <f t="shared" ref="I114:I123" si="25">G114*(E114+H114)</f>
        <v>3988.53</v>
      </c>
      <c r="J114" s="52">
        <f t="shared" ref="J114:J123" si="26">E114+H114+I114</f>
        <v>34669.53</v>
      </c>
      <c r="K114" s="53">
        <v>0.15</v>
      </c>
      <c r="L114" s="52">
        <f t="shared" ref="L114:L119" si="27">J114*K114</f>
        <v>5200.4294999999993</v>
      </c>
      <c r="M114" s="52">
        <f t="shared" ref="M114:M119" si="28">J114+L114</f>
        <v>39869.959499999997</v>
      </c>
      <c r="N114" s="53">
        <v>0.2</v>
      </c>
      <c r="O114" s="52">
        <f t="shared" ref="O114:O123" si="29">$M114/(1-N114)</f>
        <v>49837.449374999997</v>
      </c>
      <c r="P114" s="1">
        <f t="shared" ref="P114:P123" si="30">MROUND(O114,10)</f>
        <v>49840</v>
      </c>
    </row>
    <row r="115" spans="2:16" x14ac:dyDescent="0.25">
      <c r="B115" s="50" t="s">
        <v>2208</v>
      </c>
      <c r="C115" s="51" t="s">
        <v>2209</v>
      </c>
      <c r="D115" s="51" t="s">
        <v>2205</v>
      </c>
      <c r="E115" s="1">
        <v>7970</v>
      </c>
      <c r="F115" s="1">
        <v>0.05</v>
      </c>
      <c r="G115" s="1">
        <v>0.13</v>
      </c>
      <c r="H115" s="1">
        <f t="shared" si="24"/>
        <v>398.5</v>
      </c>
      <c r="I115" s="52">
        <f t="shared" si="25"/>
        <v>1087.905</v>
      </c>
      <c r="J115" s="52">
        <f t="shared" si="26"/>
        <v>9456.4050000000007</v>
      </c>
      <c r="K115" s="53">
        <v>0.15</v>
      </c>
      <c r="L115" s="52">
        <f t="shared" si="27"/>
        <v>1418.46075</v>
      </c>
      <c r="M115" s="52">
        <f t="shared" si="28"/>
        <v>10874.865750000001</v>
      </c>
      <c r="N115" s="53">
        <v>0.2</v>
      </c>
      <c r="O115" s="52">
        <f t="shared" si="29"/>
        <v>13593.5821875</v>
      </c>
      <c r="P115" s="1">
        <f t="shared" si="30"/>
        <v>13590</v>
      </c>
    </row>
    <row r="116" spans="2:16" x14ac:dyDescent="0.25">
      <c r="B116" s="50" t="s">
        <v>2210</v>
      </c>
      <c r="C116" s="51" t="s">
        <v>2211</v>
      </c>
      <c r="D116" s="51" t="s">
        <v>2205</v>
      </c>
      <c r="E116" s="1">
        <v>20400</v>
      </c>
      <c r="F116" s="1">
        <v>0.05</v>
      </c>
      <c r="G116" s="1">
        <v>0.13</v>
      </c>
      <c r="H116" s="1">
        <f t="shared" si="24"/>
        <v>1020</v>
      </c>
      <c r="I116" s="52">
        <f t="shared" si="25"/>
        <v>2784.6</v>
      </c>
      <c r="J116" s="52">
        <f t="shared" si="26"/>
        <v>24204.6</v>
      </c>
      <c r="K116" s="53">
        <v>0.15</v>
      </c>
      <c r="L116" s="52">
        <f t="shared" si="27"/>
        <v>3630.6899999999996</v>
      </c>
      <c r="M116" s="52">
        <f t="shared" si="28"/>
        <v>27835.289999999997</v>
      </c>
      <c r="N116" s="53">
        <v>0.2</v>
      </c>
      <c r="O116" s="52">
        <f t="shared" si="29"/>
        <v>34794.112499999996</v>
      </c>
      <c r="P116" s="1">
        <f t="shared" si="30"/>
        <v>34790</v>
      </c>
    </row>
    <row r="117" spans="2:16" x14ac:dyDescent="0.25">
      <c r="B117" s="50" t="s">
        <v>2212</v>
      </c>
      <c r="C117" s="51" t="s">
        <v>2213</v>
      </c>
      <c r="D117" s="51" t="s">
        <v>2205</v>
      </c>
      <c r="E117" s="1">
        <v>10270</v>
      </c>
      <c r="F117" s="1">
        <v>0.05</v>
      </c>
      <c r="G117" s="1">
        <v>0.13</v>
      </c>
      <c r="H117" s="1">
        <f t="shared" si="24"/>
        <v>513.5</v>
      </c>
      <c r="I117" s="52">
        <f t="shared" si="25"/>
        <v>1401.855</v>
      </c>
      <c r="J117" s="52">
        <f t="shared" si="26"/>
        <v>12185.355</v>
      </c>
      <c r="K117" s="53">
        <v>0.15</v>
      </c>
      <c r="L117" s="52">
        <f t="shared" si="27"/>
        <v>1827.8032499999999</v>
      </c>
      <c r="M117" s="52">
        <f t="shared" si="28"/>
        <v>14013.15825</v>
      </c>
      <c r="N117" s="53">
        <v>0.2</v>
      </c>
      <c r="O117" s="52">
        <f t="shared" si="29"/>
        <v>17516.447812499999</v>
      </c>
      <c r="P117" s="1">
        <f t="shared" si="30"/>
        <v>17520</v>
      </c>
    </row>
    <row r="118" spans="2:16" x14ac:dyDescent="0.25">
      <c r="B118" s="50" t="s">
        <v>2214</v>
      </c>
      <c r="C118" s="51" t="s">
        <v>2215</v>
      </c>
      <c r="D118" s="51" t="s">
        <v>2205</v>
      </c>
      <c r="E118" s="1">
        <v>11750</v>
      </c>
      <c r="F118" s="1">
        <v>0.05</v>
      </c>
      <c r="G118" s="1">
        <v>0.13</v>
      </c>
      <c r="H118" s="1">
        <f t="shared" si="24"/>
        <v>587.5</v>
      </c>
      <c r="I118" s="52">
        <f t="shared" si="25"/>
        <v>1603.875</v>
      </c>
      <c r="J118" s="52">
        <f t="shared" si="26"/>
        <v>13941.375</v>
      </c>
      <c r="K118" s="53">
        <v>0.15</v>
      </c>
      <c r="L118" s="52">
        <f t="shared" si="27"/>
        <v>2091.2062499999997</v>
      </c>
      <c r="M118" s="52">
        <f t="shared" si="28"/>
        <v>16032.581249999999</v>
      </c>
      <c r="N118" s="53">
        <v>0.2</v>
      </c>
      <c r="O118" s="52">
        <f t="shared" si="29"/>
        <v>20040.726562499996</v>
      </c>
      <c r="P118" s="1">
        <f t="shared" si="30"/>
        <v>20040</v>
      </c>
    </row>
    <row r="119" spans="2:16" x14ac:dyDescent="0.25">
      <c r="B119" s="50" t="s">
        <v>2216</v>
      </c>
      <c r="C119" s="51" t="s">
        <v>2217</v>
      </c>
      <c r="D119" s="51" t="s">
        <v>2205</v>
      </c>
      <c r="E119" s="1">
        <v>34820</v>
      </c>
      <c r="F119" s="1">
        <v>0.05</v>
      </c>
      <c r="G119" s="1">
        <v>0.13</v>
      </c>
      <c r="H119" s="1">
        <f t="shared" si="24"/>
        <v>1741</v>
      </c>
      <c r="I119" s="52">
        <f t="shared" si="25"/>
        <v>4752.93</v>
      </c>
      <c r="J119" s="52">
        <f t="shared" si="26"/>
        <v>41313.93</v>
      </c>
      <c r="K119" s="53">
        <v>0.15</v>
      </c>
      <c r="L119" s="52">
        <f t="shared" si="27"/>
        <v>6197.0895</v>
      </c>
      <c r="M119" s="52">
        <f t="shared" si="28"/>
        <v>47511.019500000002</v>
      </c>
      <c r="N119" s="53">
        <v>0.2</v>
      </c>
      <c r="O119" s="52">
        <f t="shared" si="29"/>
        <v>59388.774375000001</v>
      </c>
      <c r="P119" s="1">
        <f t="shared" si="30"/>
        <v>59390</v>
      </c>
    </row>
    <row r="120" spans="2:16" x14ac:dyDescent="0.25">
      <c r="B120" s="50" t="s">
        <v>2218</v>
      </c>
      <c r="C120" s="51" t="s">
        <v>2219</v>
      </c>
      <c r="D120" s="51" t="s">
        <v>2205</v>
      </c>
      <c r="E120" s="1">
        <v>2200</v>
      </c>
      <c r="F120" s="1">
        <v>0.05</v>
      </c>
      <c r="G120" s="1">
        <v>0.13</v>
      </c>
      <c r="H120" s="1">
        <f t="shared" si="24"/>
        <v>110</v>
      </c>
      <c r="I120" s="52">
        <f t="shared" si="25"/>
        <v>300.3</v>
      </c>
      <c r="J120" s="52">
        <f t="shared" si="26"/>
        <v>2610.3000000000002</v>
      </c>
      <c r="K120" s="53">
        <v>0.15</v>
      </c>
      <c r="L120" s="52">
        <f>J120*K120</f>
        <v>391.54500000000002</v>
      </c>
      <c r="M120" s="52">
        <f>J120+L120</f>
        <v>3001.8450000000003</v>
      </c>
      <c r="N120" s="53">
        <v>0.2</v>
      </c>
      <c r="O120" s="52">
        <f t="shared" si="29"/>
        <v>3752.3062500000001</v>
      </c>
      <c r="P120" s="1">
        <f t="shared" si="30"/>
        <v>3750</v>
      </c>
    </row>
    <row r="121" spans="2:16" x14ac:dyDescent="0.25">
      <c r="B121" s="50" t="s">
        <v>2220</v>
      </c>
      <c r="C121" s="51" t="s">
        <v>2221</v>
      </c>
      <c r="D121" s="51" t="s">
        <v>2205</v>
      </c>
      <c r="E121" s="1">
        <v>13220</v>
      </c>
      <c r="F121" s="1">
        <v>0.05</v>
      </c>
      <c r="G121" s="1">
        <v>0.13</v>
      </c>
      <c r="H121" s="1">
        <f t="shared" si="24"/>
        <v>661</v>
      </c>
      <c r="I121" s="52">
        <f t="shared" si="25"/>
        <v>1804.53</v>
      </c>
      <c r="J121" s="52">
        <f t="shared" si="26"/>
        <v>15685.53</v>
      </c>
      <c r="K121" s="53">
        <v>0.15</v>
      </c>
      <c r="L121" s="52">
        <f>J121*K121</f>
        <v>2352.8294999999998</v>
      </c>
      <c r="M121" s="52">
        <f>J121+L121</f>
        <v>18038.359499999999</v>
      </c>
      <c r="N121" s="53">
        <v>0.2</v>
      </c>
      <c r="O121" s="52">
        <f t="shared" si="29"/>
        <v>22547.949374999997</v>
      </c>
      <c r="P121" s="1">
        <f t="shared" si="30"/>
        <v>22550</v>
      </c>
    </row>
    <row r="122" spans="2:16" x14ac:dyDescent="0.25">
      <c r="B122" s="50" t="s">
        <v>2222</v>
      </c>
      <c r="C122" s="51" t="s">
        <v>2223</v>
      </c>
      <c r="D122" s="51" t="s">
        <v>2205</v>
      </c>
      <c r="E122" s="1">
        <v>2530</v>
      </c>
      <c r="F122" s="1">
        <v>0.05</v>
      </c>
      <c r="G122" s="1">
        <v>0.13</v>
      </c>
      <c r="H122" s="1">
        <f t="shared" si="24"/>
        <v>126.5</v>
      </c>
      <c r="I122" s="52">
        <f t="shared" si="25"/>
        <v>345.34500000000003</v>
      </c>
      <c r="J122" s="52">
        <f t="shared" si="26"/>
        <v>3001.8450000000003</v>
      </c>
      <c r="K122" s="53">
        <v>0.15</v>
      </c>
      <c r="L122" s="52">
        <f>J122*K122</f>
        <v>450.27675000000005</v>
      </c>
      <c r="M122" s="52">
        <f>J122+L122</f>
        <v>3452.1217500000002</v>
      </c>
      <c r="N122" s="53">
        <v>0.2</v>
      </c>
      <c r="O122" s="52">
        <f t="shared" si="29"/>
        <v>4315.1521874999999</v>
      </c>
      <c r="P122" s="1">
        <f t="shared" si="30"/>
        <v>4320</v>
      </c>
    </row>
    <row r="123" spans="2:16" x14ac:dyDescent="0.25">
      <c r="B123" s="50" t="s">
        <v>2224</v>
      </c>
      <c r="C123" s="51" t="s">
        <v>2225</v>
      </c>
      <c r="D123" s="51" t="s">
        <v>2205</v>
      </c>
      <c r="E123" s="1">
        <v>8870</v>
      </c>
      <c r="F123" s="1">
        <v>0.05</v>
      </c>
      <c r="G123" s="1">
        <v>0.13</v>
      </c>
      <c r="H123" s="1">
        <f t="shared" si="24"/>
        <v>443.5</v>
      </c>
      <c r="I123" s="52">
        <f t="shared" si="25"/>
        <v>1210.7550000000001</v>
      </c>
      <c r="J123" s="52">
        <f t="shared" si="26"/>
        <v>10524.255000000001</v>
      </c>
      <c r="K123" s="53">
        <v>0.15</v>
      </c>
      <c r="L123" s="52">
        <f>J123*K123</f>
        <v>1578.6382500000002</v>
      </c>
      <c r="M123" s="52">
        <f>J123+L123</f>
        <v>12102.893250000001</v>
      </c>
      <c r="N123" s="53">
        <v>0.2</v>
      </c>
      <c r="O123" s="52">
        <f t="shared" si="29"/>
        <v>15128.616562500001</v>
      </c>
      <c r="P123" s="1">
        <f t="shared" si="30"/>
        <v>15130</v>
      </c>
    </row>
    <row r="124" spans="2:16" x14ac:dyDescent="0.25">
      <c r="B124" s="125" t="s">
        <v>2226</v>
      </c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</row>
    <row r="125" spans="2:16" x14ac:dyDescent="0.25">
      <c r="B125" s="50" t="s">
        <v>2227</v>
      </c>
      <c r="C125" s="51" t="s">
        <v>2228</v>
      </c>
      <c r="D125" s="51" t="s">
        <v>2226</v>
      </c>
      <c r="E125" s="1">
        <v>9780</v>
      </c>
      <c r="F125" s="1">
        <v>0.05</v>
      </c>
      <c r="G125" s="1">
        <v>0.13</v>
      </c>
      <c r="H125" s="1">
        <f t="shared" ref="H125:H133" si="31">F125*E125</f>
        <v>489</v>
      </c>
      <c r="I125" s="52">
        <f t="shared" ref="I125:I133" si="32">G125*(E125+H125)</f>
        <v>1334.97</v>
      </c>
      <c r="J125" s="52">
        <f t="shared" ref="J125:J133" si="33">E125+H125+I125</f>
        <v>11603.97</v>
      </c>
      <c r="K125" s="53">
        <v>0.15</v>
      </c>
      <c r="L125" s="52">
        <f t="shared" ref="L125:L133" si="34">J125*K125</f>
        <v>1740.5954999999999</v>
      </c>
      <c r="M125" s="52">
        <f t="shared" ref="M125:M133" si="35">J125+L125</f>
        <v>13344.565499999999</v>
      </c>
      <c r="N125" s="53">
        <v>0.2</v>
      </c>
      <c r="O125" s="52">
        <f t="shared" ref="O125:O133" si="36">$M125/(1-N125)</f>
        <v>16680.706874999996</v>
      </c>
      <c r="P125" s="1">
        <f t="shared" ref="P125:P133" si="37">MROUND(O125,10)</f>
        <v>16680</v>
      </c>
    </row>
    <row r="126" spans="2:16" x14ac:dyDescent="0.25">
      <c r="B126" s="50" t="s">
        <v>2206</v>
      </c>
      <c r="C126" s="51" t="s">
        <v>2229</v>
      </c>
      <c r="D126" s="51" t="s">
        <v>2226</v>
      </c>
      <c r="E126" s="1">
        <v>21570</v>
      </c>
      <c r="F126" s="1">
        <v>0.05</v>
      </c>
      <c r="G126" s="1">
        <v>0.13</v>
      </c>
      <c r="H126" s="1">
        <f t="shared" si="31"/>
        <v>1078.5</v>
      </c>
      <c r="I126" s="52">
        <f t="shared" si="32"/>
        <v>2944.3050000000003</v>
      </c>
      <c r="J126" s="52">
        <f t="shared" si="33"/>
        <v>25592.805</v>
      </c>
      <c r="K126" s="53">
        <v>0.15</v>
      </c>
      <c r="L126" s="52">
        <f t="shared" si="34"/>
        <v>3838.9207499999998</v>
      </c>
      <c r="M126" s="52">
        <f t="shared" si="35"/>
        <v>29431.725750000001</v>
      </c>
      <c r="N126" s="53">
        <v>0.2</v>
      </c>
      <c r="O126" s="52">
        <f t="shared" si="36"/>
        <v>36789.657187500001</v>
      </c>
      <c r="P126" s="1">
        <f t="shared" si="37"/>
        <v>36790</v>
      </c>
    </row>
    <row r="127" spans="2:16" x14ac:dyDescent="0.25">
      <c r="B127" s="50" t="s">
        <v>2230</v>
      </c>
      <c r="C127" s="51" t="s">
        <v>2231</v>
      </c>
      <c r="D127" s="51" t="s">
        <v>2226</v>
      </c>
      <c r="E127" s="1">
        <v>23590</v>
      </c>
      <c r="F127" s="1">
        <v>0.05</v>
      </c>
      <c r="G127" s="1">
        <v>0.13</v>
      </c>
      <c r="H127" s="1">
        <f t="shared" si="31"/>
        <v>1179.5</v>
      </c>
      <c r="I127" s="52">
        <f t="shared" si="32"/>
        <v>3220.0350000000003</v>
      </c>
      <c r="J127" s="52">
        <f t="shared" si="33"/>
        <v>27989.535</v>
      </c>
      <c r="K127" s="53">
        <v>0.15</v>
      </c>
      <c r="L127" s="52">
        <f t="shared" si="34"/>
        <v>4198.4302499999994</v>
      </c>
      <c r="M127" s="52">
        <f t="shared" si="35"/>
        <v>32187.965250000001</v>
      </c>
      <c r="N127" s="53">
        <v>0.2</v>
      </c>
      <c r="O127" s="52">
        <f t="shared" si="36"/>
        <v>40234.956562499996</v>
      </c>
      <c r="P127" s="1">
        <f t="shared" si="37"/>
        <v>40230</v>
      </c>
    </row>
    <row r="128" spans="2:16" x14ac:dyDescent="0.25">
      <c r="B128" s="50" t="s">
        <v>2232</v>
      </c>
      <c r="C128" s="51" t="s">
        <v>2233</v>
      </c>
      <c r="D128" s="51" t="s">
        <v>2226</v>
      </c>
      <c r="E128" s="1">
        <v>7080</v>
      </c>
      <c r="F128" s="1">
        <v>0.05</v>
      </c>
      <c r="G128" s="1">
        <v>0.13</v>
      </c>
      <c r="H128" s="1">
        <f t="shared" si="31"/>
        <v>354</v>
      </c>
      <c r="I128" s="52">
        <f t="shared" si="32"/>
        <v>966.42000000000007</v>
      </c>
      <c r="J128" s="52">
        <f t="shared" si="33"/>
        <v>8400.42</v>
      </c>
      <c r="K128" s="53">
        <v>0.15</v>
      </c>
      <c r="L128" s="52">
        <f t="shared" si="34"/>
        <v>1260.0629999999999</v>
      </c>
      <c r="M128" s="52">
        <f t="shared" si="35"/>
        <v>9660.4830000000002</v>
      </c>
      <c r="N128" s="53">
        <v>0.2</v>
      </c>
      <c r="O128" s="52">
        <f t="shared" si="36"/>
        <v>12075.60375</v>
      </c>
      <c r="P128" s="1">
        <f t="shared" si="37"/>
        <v>12080</v>
      </c>
    </row>
    <row r="129" spans="2:16" x14ac:dyDescent="0.25">
      <c r="B129" s="50" t="s">
        <v>2234</v>
      </c>
      <c r="C129" s="51" t="s">
        <v>2235</v>
      </c>
      <c r="D129" s="51" t="s">
        <v>2226</v>
      </c>
      <c r="E129" s="1">
        <v>19950</v>
      </c>
      <c r="F129" s="1">
        <v>0.05</v>
      </c>
      <c r="G129" s="1">
        <v>0.13</v>
      </c>
      <c r="H129" s="1">
        <f t="shared" si="31"/>
        <v>997.5</v>
      </c>
      <c r="I129" s="52">
        <f t="shared" si="32"/>
        <v>2723.1750000000002</v>
      </c>
      <c r="J129" s="52">
        <f t="shared" si="33"/>
        <v>23670.674999999999</v>
      </c>
      <c r="K129" s="53">
        <v>0.15</v>
      </c>
      <c r="L129" s="52">
        <f t="shared" si="34"/>
        <v>3550.6012499999997</v>
      </c>
      <c r="M129" s="52">
        <f t="shared" si="35"/>
        <v>27221.276249999999</v>
      </c>
      <c r="N129" s="53">
        <v>0.2</v>
      </c>
      <c r="O129" s="52">
        <f t="shared" si="36"/>
        <v>34026.595312499994</v>
      </c>
      <c r="P129" s="1">
        <f t="shared" si="37"/>
        <v>34030</v>
      </c>
    </row>
    <row r="130" spans="2:16" x14ac:dyDescent="0.25">
      <c r="B130" s="50" t="s">
        <v>2236</v>
      </c>
      <c r="C130" s="51" t="s">
        <v>2237</v>
      </c>
      <c r="D130" s="51" t="s">
        <v>2226</v>
      </c>
      <c r="E130" s="1">
        <v>23590</v>
      </c>
      <c r="F130" s="1">
        <v>0.05</v>
      </c>
      <c r="G130" s="1">
        <v>0.13</v>
      </c>
      <c r="H130" s="1">
        <f t="shared" si="31"/>
        <v>1179.5</v>
      </c>
      <c r="I130" s="52">
        <f t="shared" si="32"/>
        <v>3220.0350000000003</v>
      </c>
      <c r="J130" s="52">
        <f t="shared" si="33"/>
        <v>27989.535</v>
      </c>
      <c r="K130" s="53">
        <v>0.15</v>
      </c>
      <c r="L130" s="52">
        <f t="shared" si="34"/>
        <v>4198.4302499999994</v>
      </c>
      <c r="M130" s="52">
        <f t="shared" si="35"/>
        <v>32187.965250000001</v>
      </c>
      <c r="N130" s="53">
        <v>0.2</v>
      </c>
      <c r="O130" s="52">
        <f t="shared" si="36"/>
        <v>40234.956562499996</v>
      </c>
      <c r="P130" s="1">
        <f t="shared" si="37"/>
        <v>40230</v>
      </c>
    </row>
    <row r="131" spans="2:16" x14ac:dyDescent="0.25">
      <c r="B131" s="50" t="s">
        <v>2238</v>
      </c>
      <c r="C131" s="51" t="s">
        <v>2239</v>
      </c>
      <c r="D131" s="51" t="s">
        <v>2226</v>
      </c>
      <c r="E131" s="1">
        <v>9780</v>
      </c>
      <c r="F131" s="1">
        <v>0.05</v>
      </c>
      <c r="G131" s="1">
        <v>0.13</v>
      </c>
      <c r="H131" s="1">
        <f t="shared" si="31"/>
        <v>489</v>
      </c>
      <c r="I131" s="52">
        <f t="shared" si="32"/>
        <v>1334.97</v>
      </c>
      <c r="J131" s="52">
        <f t="shared" si="33"/>
        <v>11603.97</v>
      </c>
      <c r="K131" s="53">
        <v>0.15</v>
      </c>
      <c r="L131" s="52">
        <f t="shared" si="34"/>
        <v>1740.5954999999999</v>
      </c>
      <c r="M131" s="52">
        <f t="shared" si="35"/>
        <v>13344.565499999999</v>
      </c>
      <c r="N131" s="53">
        <v>0.2</v>
      </c>
      <c r="O131" s="52">
        <f t="shared" si="36"/>
        <v>16680.706874999996</v>
      </c>
      <c r="P131" s="1">
        <f t="shared" si="37"/>
        <v>16680</v>
      </c>
    </row>
    <row r="132" spans="2:16" x14ac:dyDescent="0.25">
      <c r="B132" s="50" t="s">
        <v>2240</v>
      </c>
      <c r="C132" s="51" t="s">
        <v>2241</v>
      </c>
      <c r="D132" s="51" t="s">
        <v>2226</v>
      </c>
      <c r="E132" s="1">
        <v>10990</v>
      </c>
      <c r="F132" s="1">
        <v>0.05</v>
      </c>
      <c r="G132" s="1">
        <v>0.13</v>
      </c>
      <c r="H132" s="1">
        <f t="shared" si="31"/>
        <v>549.5</v>
      </c>
      <c r="I132" s="52">
        <f t="shared" si="32"/>
        <v>1500.135</v>
      </c>
      <c r="J132" s="52">
        <f t="shared" si="33"/>
        <v>13039.635</v>
      </c>
      <c r="K132" s="53">
        <v>0.15</v>
      </c>
      <c r="L132" s="52">
        <f t="shared" si="34"/>
        <v>1955.94525</v>
      </c>
      <c r="M132" s="52">
        <f t="shared" si="35"/>
        <v>14995.580250000001</v>
      </c>
      <c r="N132" s="53">
        <v>0.2</v>
      </c>
      <c r="O132" s="52">
        <f t="shared" si="36"/>
        <v>18744.475312499999</v>
      </c>
      <c r="P132" s="1">
        <f t="shared" si="37"/>
        <v>18740</v>
      </c>
    </row>
    <row r="133" spans="2:16" x14ac:dyDescent="0.25">
      <c r="B133" s="50" t="s">
        <v>2216</v>
      </c>
      <c r="C133" s="51" t="s">
        <v>2242</v>
      </c>
      <c r="D133" s="51" t="s">
        <v>2226</v>
      </c>
      <c r="E133" s="1">
        <v>32360</v>
      </c>
      <c r="F133" s="1">
        <v>0.05</v>
      </c>
      <c r="G133" s="1">
        <v>0.13</v>
      </c>
      <c r="H133" s="1">
        <f t="shared" si="31"/>
        <v>1618</v>
      </c>
      <c r="I133" s="52">
        <f t="shared" si="32"/>
        <v>4417.1400000000003</v>
      </c>
      <c r="J133" s="52">
        <f t="shared" si="33"/>
        <v>38395.14</v>
      </c>
      <c r="K133" s="53">
        <v>0.15</v>
      </c>
      <c r="L133" s="52">
        <f t="shared" si="34"/>
        <v>5759.2709999999997</v>
      </c>
      <c r="M133" s="52">
        <f t="shared" si="35"/>
        <v>44154.411</v>
      </c>
      <c r="N133" s="53">
        <v>0.2</v>
      </c>
      <c r="O133" s="52">
        <f t="shared" si="36"/>
        <v>55193.013749999998</v>
      </c>
      <c r="P133" s="1">
        <f t="shared" si="37"/>
        <v>55190</v>
      </c>
    </row>
    <row r="134" spans="2:16" x14ac:dyDescent="0.25">
      <c r="B134" s="125" t="s">
        <v>2243</v>
      </c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</row>
    <row r="135" spans="2:16" x14ac:dyDescent="0.25">
      <c r="B135" s="50" t="s">
        <v>2244</v>
      </c>
      <c r="C135" s="51" t="s">
        <v>2245</v>
      </c>
      <c r="D135" s="51" t="s">
        <v>2243</v>
      </c>
      <c r="E135" s="1">
        <v>9370</v>
      </c>
      <c r="F135" s="1">
        <v>0.05</v>
      </c>
      <c r="G135" s="1">
        <v>0.13</v>
      </c>
      <c r="H135" s="1">
        <f t="shared" ref="H135:H142" si="38">F135*E135</f>
        <v>468.5</v>
      </c>
      <c r="I135" s="52">
        <f t="shared" ref="I135:I142" si="39">G135*(E135+H135)</f>
        <v>1279.0050000000001</v>
      </c>
      <c r="J135" s="52">
        <f t="shared" ref="J135:J142" si="40">E135+H135+I135</f>
        <v>11117.505000000001</v>
      </c>
      <c r="K135" s="53">
        <v>0.15</v>
      </c>
      <c r="L135" s="52">
        <f t="shared" ref="L135:L142" si="41">J135*K135</f>
        <v>1667.6257500000002</v>
      </c>
      <c r="M135" s="52">
        <f t="shared" ref="M135:M142" si="42">J135+L135</f>
        <v>12785.13075</v>
      </c>
      <c r="N135" s="53">
        <v>0.2</v>
      </c>
      <c r="O135" s="52">
        <f t="shared" ref="O135:O142" si="43">$M135/(1-N135)</f>
        <v>15981.413437499999</v>
      </c>
      <c r="P135" s="1">
        <f t="shared" ref="P135:P142" si="44">MROUND(O135,10)</f>
        <v>15980</v>
      </c>
    </row>
    <row r="136" spans="2:16" x14ac:dyDescent="0.25">
      <c r="B136" s="50" t="s">
        <v>2206</v>
      </c>
      <c r="C136" s="51" t="s">
        <v>2246</v>
      </c>
      <c r="D136" s="51" t="s">
        <v>2243</v>
      </c>
      <c r="E136" s="1">
        <v>17330</v>
      </c>
      <c r="F136" s="1">
        <v>0.05</v>
      </c>
      <c r="G136" s="1">
        <v>0.13</v>
      </c>
      <c r="H136" s="1">
        <f t="shared" si="38"/>
        <v>866.5</v>
      </c>
      <c r="I136" s="52">
        <f t="shared" si="39"/>
        <v>2365.5450000000001</v>
      </c>
      <c r="J136" s="52">
        <f t="shared" si="40"/>
        <v>20562.044999999998</v>
      </c>
      <c r="K136" s="53">
        <v>0.15</v>
      </c>
      <c r="L136" s="52">
        <f t="shared" si="41"/>
        <v>3084.3067499999997</v>
      </c>
      <c r="M136" s="52">
        <f t="shared" si="42"/>
        <v>23646.351749999998</v>
      </c>
      <c r="N136" s="53">
        <v>0.2</v>
      </c>
      <c r="O136" s="52">
        <f t="shared" si="43"/>
        <v>29557.939687499995</v>
      </c>
      <c r="P136" s="1">
        <f t="shared" si="44"/>
        <v>29560</v>
      </c>
    </row>
    <row r="137" spans="2:16" x14ac:dyDescent="0.25">
      <c r="B137" s="50" t="s">
        <v>2230</v>
      </c>
      <c r="C137" s="51" t="s">
        <v>2247</v>
      </c>
      <c r="D137" s="51" t="s">
        <v>2243</v>
      </c>
      <c r="E137" s="1">
        <v>20560</v>
      </c>
      <c r="F137" s="1">
        <v>0.05</v>
      </c>
      <c r="G137" s="1">
        <v>0.13</v>
      </c>
      <c r="H137" s="1">
        <f t="shared" si="38"/>
        <v>1028</v>
      </c>
      <c r="I137" s="52">
        <f t="shared" si="39"/>
        <v>2806.44</v>
      </c>
      <c r="J137" s="52">
        <f t="shared" si="40"/>
        <v>24394.44</v>
      </c>
      <c r="K137" s="53">
        <v>0.15</v>
      </c>
      <c r="L137" s="52">
        <f t="shared" si="41"/>
        <v>3659.1659999999997</v>
      </c>
      <c r="M137" s="52">
        <f t="shared" si="42"/>
        <v>28053.606</v>
      </c>
      <c r="N137" s="53">
        <v>0.2</v>
      </c>
      <c r="O137" s="52">
        <f t="shared" si="43"/>
        <v>35067.0075</v>
      </c>
      <c r="P137" s="1">
        <f t="shared" si="44"/>
        <v>35070</v>
      </c>
    </row>
    <row r="138" spans="2:16" x14ac:dyDescent="0.25">
      <c r="B138" s="50" t="s">
        <v>2248</v>
      </c>
      <c r="C138" s="51" t="s">
        <v>2249</v>
      </c>
      <c r="D138" s="51" t="s">
        <v>2243</v>
      </c>
      <c r="E138" s="1">
        <v>6210</v>
      </c>
      <c r="F138" s="1">
        <v>0.05</v>
      </c>
      <c r="G138" s="1">
        <v>0.13</v>
      </c>
      <c r="H138" s="1">
        <f t="shared" si="38"/>
        <v>310.5</v>
      </c>
      <c r="I138" s="52">
        <f t="shared" si="39"/>
        <v>847.66500000000008</v>
      </c>
      <c r="J138" s="52">
        <f t="shared" si="40"/>
        <v>7368.165</v>
      </c>
      <c r="K138" s="53">
        <v>0.15</v>
      </c>
      <c r="L138" s="52">
        <f t="shared" si="41"/>
        <v>1105.2247499999999</v>
      </c>
      <c r="M138" s="52">
        <f t="shared" si="42"/>
        <v>8473.3897500000003</v>
      </c>
      <c r="N138" s="53">
        <v>0.2</v>
      </c>
      <c r="O138" s="52">
        <f t="shared" si="43"/>
        <v>10591.737187499999</v>
      </c>
      <c r="P138" s="1">
        <f t="shared" si="44"/>
        <v>10590</v>
      </c>
    </row>
    <row r="139" spans="2:16" x14ac:dyDescent="0.25">
      <c r="B139" s="50" t="s">
        <v>2250</v>
      </c>
      <c r="C139" s="51" t="s">
        <v>2251</v>
      </c>
      <c r="D139" s="51" t="s">
        <v>2243</v>
      </c>
      <c r="E139" s="1">
        <v>20220</v>
      </c>
      <c r="F139" s="1">
        <v>0.05</v>
      </c>
      <c r="G139" s="1">
        <v>0.13</v>
      </c>
      <c r="H139" s="1">
        <f t="shared" si="38"/>
        <v>1011</v>
      </c>
      <c r="I139" s="52">
        <f t="shared" si="39"/>
        <v>2760.03</v>
      </c>
      <c r="J139" s="52">
        <f t="shared" si="40"/>
        <v>23991.03</v>
      </c>
      <c r="K139" s="53">
        <v>0.15</v>
      </c>
      <c r="L139" s="52">
        <f t="shared" si="41"/>
        <v>3598.6544999999996</v>
      </c>
      <c r="M139" s="52">
        <f t="shared" si="42"/>
        <v>27589.684499999999</v>
      </c>
      <c r="N139" s="53">
        <v>0.2</v>
      </c>
      <c r="O139" s="52">
        <f t="shared" si="43"/>
        <v>34487.105624999997</v>
      </c>
      <c r="P139" s="1">
        <f t="shared" si="44"/>
        <v>34490</v>
      </c>
    </row>
    <row r="140" spans="2:16" x14ac:dyDescent="0.25">
      <c r="B140" s="50" t="s">
        <v>2236</v>
      </c>
      <c r="C140" s="51" t="s">
        <v>2252</v>
      </c>
      <c r="D140" s="51" t="s">
        <v>2243</v>
      </c>
      <c r="E140" s="1">
        <v>20220</v>
      </c>
      <c r="F140" s="1">
        <v>0.05</v>
      </c>
      <c r="G140" s="1">
        <v>0.13</v>
      </c>
      <c r="H140" s="1">
        <f t="shared" si="38"/>
        <v>1011</v>
      </c>
      <c r="I140" s="52">
        <f t="shared" si="39"/>
        <v>2760.03</v>
      </c>
      <c r="J140" s="52">
        <f t="shared" si="40"/>
        <v>23991.03</v>
      </c>
      <c r="K140" s="53">
        <v>0.15</v>
      </c>
      <c r="L140" s="52">
        <f t="shared" si="41"/>
        <v>3598.6544999999996</v>
      </c>
      <c r="M140" s="52">
        <f t="shared" si="42"/>
        <v>27589.684499999999</v>
      </c>
      <c r="N140" s="53">
        <v>0.2</v>
      </c>
      <c r="O140" s="52">
        <f t="shared" si="43"/>
        <v>34487.105624999997</v>
      </c>
      <c r="P140" s="1">
        <f t="shared" si="44"/>
        <v>34490</v>
      </c>
    </row>
    <row r="141" spans="2:16" x14ac:dyDescent="0.25">
      <c r="B141" s="50" t="s">
        <v>2253</v>
      </c>
      <c r="C141" s="51" t="s">
        <v>2254</v>
      </c>
      <c r="D141" s="51" t="s">
        <v>2243</v>
      </c>
      <c r="E141" s="1">
        <v>9640</v>
      </c>
      <c r="F141" s="1">
        <v>0.05</v>
      </c>
      <c r="G141" s="1">
        <v>0.13</v>
      </c>
      <c r="H141" s="1">
        <f t="shared" si="38"/>
        <v>482</v>
      </c>
      <c r="I141" s="52">
        <f t="shared" si="39"/>
        <v>1315.8600000000001</v>
      </c>
      <c r="J141" s="52">
        <f t="shared" si="40"/>
        <v>11437.86</v>
      </c>
      <c r="K141" s="53">
        <v>0.15</v>
      </c>
      <c r="L141" s="52">
        <f t="shared" si="41"/>
        <v>1715.6790000000001</v>
      </c>
      <c r="M141" s="52">
        <f t="shared" si="42"/>
        <v>13153.539000000001</v>
      </c>
      <c r="N141" s="53">
        <v>0.2</v>
      </c>
      <c r="O141" s="52">
        <f t="shared" si="43"/>
        <v>16441.923749999998</v>
      </c>
      <c r="P141" s="1">
        <f t="shared" si="44"/>
        <v>16440</v>
      </c>
    </row>
    <row r="142" spans="2:16" x14ac:dyDescent="0.25">
      <c r="B142" s="50" t="s">
        <v>2216</v>
      </c>
      <c r="C142" s="51" t="s">
        <v>2255</v>
      </c>
      <c r="D142" s="51" t="s">
        <v>2243</v>
      </c>
      <c r="E142" s="1">
        <v>24810</v>
      </c>
      <c r="F142" s="1">
        <v>0.05</v>
      </c>
      <c r="G142" s="1">
        <v>0.13</v>
      </c>
      <c r="H142" s="1">
        <f t="shared" si="38"/>
        <v>1240.5</v>
      </c>
      <c r="I142" s="52">
        <f t="shared" si="39"/>
        <v>3386.5650000000001</v>
      </c>
      <c r="J142" s="52">
        <f t="shared" si="40"/>
        <v>29437.064999999999</v>
      </c>
      <c r="K142" s="53">
        <v>0.15</v>
      </c>
      <c r="L142" s="52">
        <f t="shared" si="41"/>
        <v>4415.5597499999994</v>
      </c>
      <c r="M142" s="52">
        <f t="shared" si="42"/>
        <v>33852.624749999995</v>
      </c>
      <c r="N142" s="53">
        <v>0.2</v>
      </c>
      <c r="O142" s="52">
        <f t="shared" si="43"/>
        <v>42315.780937499992</v>
      </c>
      <c r="P142" s="1">
        <f t="shared" si="44"/>
        <v>42320</v>
      </c>
    </row>
    <row r="143" spans="2:16" x14ac:dyDescent="0.25">
      <c r="B143" s="129" t="s">
        <v>2256</v>
      </c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</row>
    <row r="144" spans="2:16" x14ac:dyDescent="0.25">
      <c r="B144" s="50" t="s">
        <v>2257</v>
      </c>
      <c r="C144" s="51" t="s">
        <v>2258</v>
      </c>
      <c r="D144" s="51" t="s">
        <v>2256</v>
      </c>
      <c r="E144" s="1">
        <v>2460</v>
      </c>
      <c r="F144" s="1">
        <v>0.05</v>
      </c>
      <c r="G144" s="1">
        <v>0.13</v>
      </c>
      <c r="H144" s="1">
        <f t="shared" ref="H144:H156" si="45">F144*E144</f>
        <v>123</v>
      </c>
      <c r="I144" s="52">
        <f t="shared" ref="I144:I156" si="46">G144*(E144+H144)</f>
        <v>335.79</v>
      </c>
      <c r="J144" s="52">
        <f t="shared" ref="J144:J156" si="47">E144+H144+I144</f>
        <v>2918.79</v>
      </c>
      <c r="K144" s="53">
        <v>0.15</v>
      </c>
      <c r="L144" s="52">
        <f t="shared" ref="L144:L156" si="48">J144*K144</f>
        <v>437.81849999999997</v>
      </c>
      <c r="M144" s="52">
        <f t="shared" ref="M144:M156" si="49">J144+L144</f>
        <v>3356.6084999999998</v>
      </c>
      <c r="N144" s="53">
        <v>0.2</v>
      </c>
      <c r="O144" s="52">
        <f t="shared" ref="O144:O156" si="50">$M144/(1-N144)</f>
        <v>4195.7606249999999</v>
      </c>
      <c r="P144" s="1">
        <f t="shared" ref="P144:P156" si="51">MROUND(O144,10)</f>
        <v>4200</v>
      </c>
    </row>
    <row r="145" spans="2:16" x14ac:dyDescent="0.25">
      <c r="B145" s="54" t="s">
        <v>2259</v>
      </c>
      <c r="C145" s="1" t="s">
        <v>2260</v>
      </c>
      <c r="D145" s="1" t="s">
        <v>2256</v>
      </c>
      <c r="E145" s="1">
        <v>2270</v>
      </c>
      <c r="F145" s="1">
        <v>0.05</v>
      </c>
      <c r="G145" s="1">
        <v>0.13</v>
      </c>
      <c r="H145" s="1">
        <f t="shared" si="45"/>
        <v>113.5</v>
      </c>
      <c r="I145" s="52">
        <f t="shared" si="46"/>
        <v>309.85500000000002</v>
      </c>
      <c r="J145" s="52">
        <f t="shared" si="47"/>
        <v>2693.355</v>
      </c>
      <c r="K145" s="53">
        <v>0.15</v>
      </c>
      <c r="L145" s="52">
        <f t="shared" si="48"/>
        <v>404.00324999999998</v>
      </c>
      <c r="M145" s="52">
        <f t="shared" si="49"/>
        <v>3097.3582500000002</v>
      </c>
      <c r="N145" s="53">
        <v>0.2</v>
      </c>
      <c r="O145" s="52">
        <f t="shared" si="50"/>
        <v>3871.6978125000001</v>
      </c>
      <c r="P145" s="1">
        <f t="shared" si="51"/>
        <v>3870</v>
      </c>
    </row>
    <row r="146" spans="2:16" x14ac:dyDescent="0.25">
      <c r="B146" s="54" t="s">
        <v>2261</v>
      </c>
      <c r="C146" s="1" t="s">
        <v>2262</v>
      </c>
      <c r="D146" s="1" t="s">
        <v>2256</v>
      </c>
      <c r="E146" s="1">
        <v>3000</v>
      </c>
      <c r="F146" s="1">
        <v>0.05</v>
      </c>
      <c r="G146" s="1">
        <v>0.13</v>
      </c>
      <c r="H146" s="1">
        <f t="shared" si="45"/>
        <v>150</v>
      </c>
      <c r="I146" s="52">
        <f t="shared" si="46"/>
        <v>409.5</v>
      </c>
      <c r="J146" s="52">
        <f t="shared" si="47"/>
        <v>3559.5</v>
      </c>
      <c r="K146" s="53">
        <v>0.15</v>
      </c>
      <c r="L146" s="52">
        <f t="shared" si="48"/>
        <v>533.92499999999995</v>
      </c>
      <c r="M146" s="52">
        <f t="shared" si="49"/>
        <v>4093.4250000000002</v>
      </c>
      <c r="N146" s="53">
        <v>0.2</v>
      </c>
      <c r="O146" s="52">
        <f t="shared" si="50"/>
        <v>5116.78125</v>
      </c>
      <c r="P146" s="1">
        <f t="shared" si="51"/>
        <v>5120</v>
      </c>
    </row>
    <row r="147" spans="2:16" x14ac:dyDescent="0.25">
      <c r="B147" s="50" t="s">
        <v>2206</v>
      </c>
      <c r="C147" s="51" t="s">
        <v>2263</v>
      </c>
      <c r="D147" s="51" t="s">
        <v>2256</v>
      </c>
      <c r="E147" s="1">
        <v>9520</v>
      </c>
      <c r="F147" s="1">
        <v>0.05</v>
      </c>
      <c r="G147" s="1">
        <v>0.13</v>
      </c>
      <c r="H147" s="1">
        <f t="shared" si="45"/>
        <v>476</v>
      </c>
      <c r="I147" s="52">
        <f t="shared" si="46"/>
        <v>1299.48</v>
      </c>
      <c r="J147" s="52">
        <f t="shared" si="47"/>
        <v>11295.48</v>
      </c>
      <c r="K147" s="53">
        <v>0.15</v>
      </c>
      <c r="L147" s="52">
        <f t="shared" si="48"/>
        <v>1694.3219999999999</v>
      </c>
      <c r="M147" s="52">
        <f t="shared" si="49"/>
        <v>12989.802</v>
      </c>
      <c r="N147" s="53">
        <v>0.2</v>
      </c>
      <c r="O147" s="52">
        <f t="shared" si="50"/>
        <v>16237.252499999999</v>
      </c>
      <c r="P147" s="1">
        <f t="shared" si="51"/>
        <v>16240</v>
      </c>
    </row>
    <row r="148" spans="2:16" x14ac:dyDescent="0.25">
      <c r="B148" s="50" t="s">
        <v>2264</v>
      </c>
      <c r="C148" s="51" t="s">
        <v>2265</v>
      </c>
      <c r="D148" s="51" t="s">
        <v>2256</v>
      </c>
      <c r="E148" s="1">
        <v>12240</v>
      </c>
      <c r="F148" s="1">
        <v>0.05</v>
      </c>
      <c r="G148" s="1">
        <v>0.13</v>
      </c>
      <c r="H148" s="1">
        <f t="shared" si="45"/>
        <v>612</v>
      </c>
      <c r="I148" s="52">
        <f t="shared" si="46"/>
        <v>1670.76</v>
      </c>
      <c r="J148" s="52">
        <f t="shared" si="47"/>
        <v>14522.76</v>
      </c>
      <c r="K148" s="53">
        <v>0.15</v>
      </c>
      <c r="L148" s="52">
        <f t="shared" si="48"/>
        <v>2178.4139999999998</v>
      </c>
      <c r="M148" s="52">
        <f t="shared" si="49"/>
        <v>16701.173999999999</v>
      </c>
      <c r="N148" s="53">
        <v>0.2</v>
      </c>
      <c r="O148" s="52">
        <f t="shared" si="50"/>
        <v>20876.467499999999</v>
      </c>
      <c r="P148" s="1">
        <f t="shared" si="51"/>
        <v>20880</v>
      </c>
    </row>
    <row r="149" spans="2:16" x14ac:dyDescent="0.25">
      <c r="B149" s="54" t="s">
        <v>2266</v>
      </c>
      <c r="C149" s="1" t="s">
        <v>2267</v>
      </c>
      <c r="D149" s="1" t="s">
        <v>2256</v>
      </c>
      <c r="E149" s="1">
        <v>5570</v>
      </c>
      <c r="F149" s="1">
        <v>0.05</v>
      </c>
      <c r="G149" s="1">
        <v>0.13</v>
      </c>
      <c r="H149" s="1">
        <f t="shared" si="45"/>
        <v>278.5</v>
      </c>
      <c r="I149" s="52">
        <f t="shared" si="46"/>
        <v>760.30500000000006</v>
      </c>
      <c r="J149" s="52">
        <f t="shared" si="47"/>
        <v>6608.8050000000003</v>
      </c>
      <c r="K149" s="53">
        <v>0.15</v>
      </c>
      <c r="L149" s="52">
        <f t="shared" si="48"/>
        <v>991.32074999999998</v>
      </c>
      <c r="M149" s="52">
        <f t="shared" si="49"/>
        <v>7600.1257500000002</v>
      </c>
      <c r="N149" s="53">
        <v>0.2</v>
      </c>
      <c r="O149" s="52">
        <f t="shared" si="50"/>
        <v>9500.1571874999991</v>
      </c>
      <c r="P149" s="1">
        <f t="shared" si="51"/>
        <v>9500</v>
      </c>
    </row>
    <row r="150" spans="2:16" x14ac:dyDescent="0.25">
      <c r="B150" s="50" t="s">
        <v>2268</v>
      </c>
      <c r="C150" s="51" t="s">
        <v>2269</v>
      </c>
      <c r="D150" s="51" t="s">
        <v>2256</v>
      </c>
      <c r="E150" s="1">
        <v>4550</v>
      </c>
      <c r="F150" s="1">
        <v>0.05</v>
      </c>
      <c r="G150" s="1">
        <v>0.13</v>
      </c>
      <c r="H150" s="1">
        <f t="shared" si="45"/>
        <v>227.5</v>
      </c>
      <c r="I150" s="52">
        <f t="shared" si="46"/>
        <v>621.07500000000005</v>
      </c>
      <c r="J150" s="52">
        <f t="shared" si="47"/>
        <v>5398.5749999999998</v>
      </c>
      <c r="K150" s="53">
        <v>0.15</v>
      </c>
      <c r="L150" s="52">
        <f t="shared" si="48"/>
        <v>809.78625</v>
      </c>
      <c r="M150" s="52">
        <f t="shared" si="49"/>
        <v>6208.3612499999999</v>
      </c>
      <c r="N150" s="53">
        <v>0.2</v>
      </c>
      <c r="O150" s="52">
        <f t="shared" si="50"/>
        <v>7760.4515624999995</v>
      </c>
      <c r="P150" s="1">
        <f t="shared" si="51"/>
        <v>7760</v>
      </c>
    </row>
    <row r="151" spans="2:16" x14ac:dyDescent="0.25">
      <c r="B151" s="50" t="s">
        <v>2270</v>
      </c>
      <c r="C151" s="51" t="s">
        <v>2271</v>
      </c>
      <c r="D151" s="51" t="s">
        <v>2256</v>
      </c>
      <c r="E151" s="1">
        <v>4270</v>
      </c>
      <c r="F151" s="1">
        <v>0.05</v>
      </c>
      <c r="G151" s="1">
        <v>0.13</v>
      </c>
      <c r="H151" s="1">
        <f t="shared" si="45"/>
        <v>213.5</v>
      </c>
      <c r="I151" s="52">
        <f t="shared" si="46"/>
        <v>582.85500000000002</v>
      </c>
      <c r="J151" s="52">
        <f t="shared" si="47"/>
        <v>5066.3549999999996</v>
      </c>
      <c r="K151" s="53">
        <v>0.15</v>
      </c>
      <c r="L151" s="52">
        <f t="shared" si="48"/>
        <v>759.95324999999991</v>
      </c>
      <c r="M151" s="52">
        <f t="shared" si="49"/>
        <v>5826.3082499999991</v>
      </c>
      <c r="N151" s="53">
        <v>0.2</v>
      </c>
      <c r="O151" s="52">
        <f t="shared" si="50"/>
        <v>7282.8853124999987</v>
      </c>
      <c r="P151" s="1">
        <f t="shared" si="51"/>
        <v>7280</v>
      </c>
    </row>
    <row r="152" spans="2:16" x14ac:dyDescent="0.25">
      <c r="B152" s="54" t="s">
        <v>2272</v>
      </c>
      <c r="C152" s="1" t="s">
        <v>2273</v>
      </c>
      <c r="D152" s="1" t="s">
        <v>2256</v>
      </c>
      <c r="E152" s="1">
        <v>5600</v>
      </c>
      <c r="F152" s="1">
        <v>0.05</v>
      </c>
      <c r="G152" s="1">
        <v>0.13</v>
      </c>
      <c r="H152" s="1">
        <f t="shared" si="45"/>
        <v>280</v>
      </c>
      <c r="I152" s="52">
        <f t="shared" si="46"/>
        <v>764.4</v>
      </c>
      <c r="J152" s="52">
        <f t="shared" si="47"/>
        <v>6644.4</v>
      </c>
      <c r="K152" s="53">
        <v>0.15</v>
      </c>
      <c r="L152" s="52">
        <f t="shared" si="48"/>
        <v>996.65999999999985</v>
      </c>
      <c r="M152" s="52">
        <f t="shared" si="49"/>
        <v>7641.0599999999995</v>
      </c>
      <c r="N152" s="53">
        <v>0.2</v>
      </c>
      <c r="O152" s="52">
        <f t="shared" si="50"/>
        <v>9551.3249999999989</v>
      </c>
      <c r="P152" s="1">
        <f t="shared" si="51"/>
        <v>9550</v>
      </c>
    </row>
    <row r="153" spans="2:16" x14ac:dyDescent="0.25">
      <c r="B153" s="50" t="s">
        <v>2274</v>
      </c>
      <c r="C153" s="51" t="s">
        <v>2275</v>
      </c>
      <c r="D153" s="51" t="s">
        <v>2256</v>
      </c>
      <c r="E153" s="1">
        <v>11680</v>
      </c>
      <c r="F153" s="1">
        <v>0.05</v>
      </c>
      <c r="G153" s="1">
        <v>0.13</v>
      </c>
      <c r="H153" s="1">
        <f t="shared" si="45"/>
        <v>584</v>
      </c>
      <c r="I153" s="52">
        <f t="shared" si="46"/>
        <v>1594.3200000000002</v>
      </c>
      <c r="J153" s="52">
        <f t="shared" si="47"/>
        <v>13858.32</v>
      </c>
      <c r="K153" s="53">
        <v>0.15</v>
      </c>
      <c r="L153" s="52">
        <f t="shared" si="48"/>
        <v>2078.748</v>
      </c>
      <c r="M153" s="52">
        <f t="shared" si="49"/>
        <v>15937.067999999999</v>
      </c>
      <c r="N153" s="53">
        <v>0.2</v>
      </c>
      <c r="O153" s="52">
        <f t="shared" si="50"/>
        <v>19921.334999999999</v>
      </c>
      <c r="P153" s="1">
        <f t="shared" si="51"/>
        <v>19920</v>
      </c>
    </row>
    <row r="154" spans="2:16" x14ac:dyDescent="0.25">
      <c r="B154" s="50" t="s">
        <v>2276</v>
      </c>
      <c r="C154" s="51" t="s">
        <v>2277</v>
      </c>
      <c r="D154" s="51" t="s">
        <v>2256</v>
      </c>
      <c r="E154" s="1">
        <v>2460</v>
      </c>
      <c r="F154" s="1">
        <v>0.05</v>
      </c>
      <c r="G154" s="1">
        <v>0.13</v>
      </c>
      <c r="H154" s="1">
        <f t="shared" si="45"/>
        <v>123</v>
      </c>
      <c r="I154" s="52">
        <f t="shared" si="46"/>
        <v>335.79</v>
      </c>
      <c r="J154" s="52">
        <f t="shared" si="47"/>
        <v>2918.79</v>
      </c>
      <c r="K154" s="53">
        <v>0.15</v>
      </c>
      <c r="L154" s="52">
        <f t="shared" si="48"/>
        <v>437.81849999999997</v>
      </c>
      <c r="M154" s="52">
        <f t="shared" si="49"/>
        <v>3356.6084999999998</v>
      </c>
      <c r="N154" s="53">
        <v>0.2</v>
      </c>
      <c r="O154" s="52">
        <f t="shared" si="50"/>
        <v>4195.7606249999999</v>
      </c>
      <c r="P154" s="1">
        <f t="shared" si="51"/>
        <v>4200</v>
      </c>
    </row>
    <row r="155" spans="2:16" x14ac:dyDescent="0.25">
      <c r="B155" s="50" t="s">
        <v>2278</v>
      </c>
      <c r="C155" s="51" t="s">
        <v>2279</v>
      </c>
      <c r="D155" s="51" t="s">
        <v>2256</v>
      </c>
      <c r="E155" s="1">
        <v>2630</v>
      </c>
      <c r="F155" s="1">
        <v>0.05</v>
      </c>
      <c r="G155" s="1">
        <v>0.13</v>
      </c>
      <c r="H155" s="1">
        <f t="shared" si="45"/>
        <v>131.5</v>
      </c>
      <c r="I155" s="52">
        <f t="shared" si="46"/>
        <v>358.995</v>
      </c>
      <c r="J155" s="52">
        <f t="shared" si="47"/>
        <v>3120.4949999999999</v>
      </c>
      <c r="K155" s="53">
        <v>0.15</v>
      </c>
      <c r="L155" s="52">
        <f t="shared" si="48"/>
        <v>468.07424999999995</v>
      </c>
      <c r="M155" s="52">
        <f t="shared" si="49"/>
        <v>3588.56925</v>
      </c>
      <c r="N155" s="53">
        <v>0.2</v>
      </c>
      <c r="O155" s="52">
        <f t="shared" si="50"/>
        <v>4485.7115624999997</v>
      </c>
      <c r="P155" s="1">
        <f t="shared" si="51"/>
        <v>4490</v>
      </c>
    </row>
    <row r="156" spans="2:16" x14ac:dyDescent="0.25">
      <c r="B156" s="50" t="s">
        <v>2280</v>
      </c>
      <c r="C156" s="51" t="s">
        <v>2281</v>
      </c>
      <c r="D156" s="51" t="s">
        <v>2256</v>
      </c>
      <c r="E156" s="1">
        <v>12090</v>
      </c>
      <c r="F156" s="1">
        <v>0.05</v>
      </c>
      <c r="G156" s="1">
        <v>0.13</v>
      </c>
      <c r="H156" s="1">
        <f t="shared" si="45"/>
        <v>604.5</v>
      </c>
      <c r="I156" s="52">
        <f t="shared" si="46"/>
        <v>1650.2850000000001</v>
      </c>
      <c r="J156" s="52">
        <f t="shared" si="47"/>
        <v>14344.785</v>
      </c>
      <c r="K156" s="53">
        <v>0.15</v>
      </c>
      <c r="L156" s="52">
        <f t="shared" si="48"/>
        <v>2151.7177499999998</v>
      </c>
      <c r="M156" s="52">
        <f t="shared" si="49"/>
        <v>16496.50275</v>
      </c>
      <c r="N156" s="53">
        <v>0.2</v>
      </c>
      <c r="O156" s="52">
        <f t="shared" si="50"/>
        <v>20620.6284375</v>
      </c>
      <c r="P156" s="1">
        <f t="shared" si="51"/>
        <v>20620</v>
      </c>
    </row>
    <row r="157" spans="2:16" x14ac:dyDescent="0.25">
      <c r="B157" s="125" t="s">
        <v>2282</v>
      </c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</row>
    <row r="158" spans="2:16" x14ac:dyDescent="0.25">
      <c r="B158" s="50" t="s">
        <v>2257</v>
      </c>
      <c r="C158" s="51" t="s">
        <v>2283</v>
      </c>
      <c r="D158" s="51" t="s">
        <v>2282</v>
      </c>
      <c r="E158" s="1">
        <v>2570</v>
      </c>
      <c r="F158" s="1">
        <v>0.05</v>
      </c>
      <c r="G158" s="1">
        <v>0.13</v>
      </c>
      <c r="H158" s="1">
        <f t="shared" ref="H158:H171" si="52">F158*E158</f>
        <v>128.5</v>
      </c>
      <c r="I158" s="52">
        <f t="shared" ref="I158:I171" si="53">G158*(E158+H158)</f>
        <v>350.80500000000001</v>
      </c>
      <c r="J158" s="52">
        <f t="shared" ref="J158:J171" si="54">E158+H158+I158</f>
        <v>3049.3049999999998</v>
      </c>
      <c r="K158" s="53">
        <v>0.15</v>
      </c>
      <c r="L158" s="52">
        <f t="shared" ref="L158:L171" si="55">J158*K158</f>
        <v>457.39574999999996</v>
      </c>
      <c r="M158" s="52">
        <f t="shared" ref="M158:M171" si="56">J158+L158</f>
        <v>3506.70075</v>
      </c>
      <c r="N158" s="53">
        <v>0.2</v>
      </c>
      <c r="O158" s="52">
        <f t="shared" ref="O158:O171" si="57">$M158/(1-N158)</f>
        <v>4383.3759375</v>
      </c>
      <c r="P158" s="1">
        <f t="shared" ref="P158:P171" si="58">MROUND(O158,10)</f>
        <v>4380</v>
      </c>
    </row>
    <row r="159" spans="2:16" x14ac:dyDescent="0.25">
      <c r="B159" s="50" t="s">
        <v>2284</v>
      </c>
      <c r="C159" s="51" t="s">
        <v>2285</v>
      </c>
      <c r="D159" s="51" t="s">
        <v>2282</v>
      </c>
      <c r="E159" s="1">
        <v>3710</v>
      </c>
      <c r="F159" s="1">
        <v>0.05</v>
      </c>
      <c r="G159" s="1">
        <v>0.13</v>
      </c>
      <c r="H159" s="1">
        <f t="shared" si="52"/>
        <v>185.5</v>
      </c>
      <c r="I159" s="52">
        <f t="shared" si="53"/>
        <v>506.41500000000002</v>
      </c>
      <c r="J159" s="52">
        <f t="shared" si="54"/>
        <v>4401.915</v>
      </c>
      <c r="K159" s="53">
        <v>0.15</v>
      </c>
      <c r="L159" s="52">
        <f t="shared" si="55"/>
        <v>660.28724999999997</v>
      </c>
      <c r="M159" s="52">
        <f t="shared" si="56"/>
        <v>5062.2022500000003</v>
      </c>
      <c r="N159" s="53">
        <v>0.2</v>
      </c>
      <c r="O159" s="52">
        <f t="shared" si="57"/>
        <v>6327.7528124999999</v>
      </c>
      <c r="P159" s="1">
        <f t="shared" si="58"/>
        <v>6330</v>
      </c>
    </row>
    <row r="160" spans="2:16" x14ac:dyDescent="0.25">
      <c r="B160" s="50" t="s">
        <v>2286</v>
      </c>
      <c r="C160" s="51" t="s">
        <v>2287</v>
      </c>
      <c r="D160" s="51" t="s">
        <v>2282</v>
      </c>
      <c r="E160" s="1">
        <v>4720</v>
      </c>
      <c r="F160" s="1">
        <v>0.05</v>
      </c>
      <c r="G160" s="1">
        <v>0.13</v>
      </c>
      <c r="H160" s="1">
        <f t="shared" si="52"/>
        <v>236</v>
      </c>
      <c r="I160" s="52">
        <f t="shared" si="53"/>
        <v>644.28</v>
      </c>
      <c r="J160" s="52">
        <f t="shared" si="54"/>
        <v>5600.28</v>
      </c>
      <c r="K160" s="53">
        <v>0.15</v>
      </c>
      <c r="L160" s="52">
        <f t="shared" si="55"/>
        <v>840.04199999999992</v>
      </c>
      <c r="M160" s="52">
        <f t="shared" si="56"/>
        <v>6440.3220000000001</v>
      </c>
      <c r="N160" s="53">
        <v>0.2</v>
      </c>
      <c r="O160" s="52">
        <f t="shared" si="57"/>
        <v>8050.4025000000001</v>
      </c>
      <c r="P160" s="1">
        <f t="shared" si="58"/>
        <v>8050</v>
      </c>
    </row>
    <row r="161" spans="2:16" x14ac:dyDescent="0.25">
      <c r="B161" s="50" t="s">
        <v>2288</v>
      </c>
      <c r="C161" s="51" t="s">
        <v>2289</v>
      </c>
      <c r="D161" s="51" t="s">
        <v>2282</v>
      </c>
      <c r="E161" s="1">
        <v>9710</v>
      </c>
      <c r="F161" s="1">
        <v>0.05</v>
      </c>
      <c r="G161" s="1">
        <v>0.13</v>
      </c>
      <c r="H161" s="1">
        <f t="shared" si="52"/>
        <v>485.5</v>
      </c>
      <c r="I161" s="52">
        <f t="shared" si="53"/>
        <v>1325.415</v>
      </c>
      <c r="J161" s="52">
        <f t="shared" si="54"/>
        <v>11520.915000000001</v>
      </c>
      <c r="K161" s="53">
        <v>0.15</v>
      </c>
      <c r="L161" s="52">
        <f t="shared" si="55"/>
        <v>1728.13725</v>
      </c>
      <c r="M161" s="52">
        <f t="shared" si="56"/>
        <v>13249.052250000001</v>
      </c>
      <c r="N161" s="53">
        <v>0.2</v>
      </c>
      <c r="O161" s="52">
        <f t="shared" si="57"/>
        <v>16561.315312499999</v>
      </c>
      <c r="P161" s="1">
        <f t="shared" si="58"/>
        <v>16560</v>
      </c>
    </row>
    <row r="162" spans="2:16" x14ac:dyDescent="0.25">
      <c r="B162" s="50" t="s">
        <v>2290</v>
      </c>
      <c r="C162" s="51" t="s">
        <v>2291</v>
      </c>
      <c r="D162" s="51" t="s">
        <v>2282</v>
      </c>
      <c r="E162" s="1">
        <v>6750</v>
      </c>
      <c r="F162" s="1">
        <v>0.05</v>
      </c>
      <c r="G162" s="1">
        <v>0.13</v>
      </c>
      <c r="H162" s="1">
        <f t="shared" si="52"/>
        <v>337.5</v>
      </c>
      <c r="I162" s="52">
        <f t="shared" si="53"/>
        <v>921.375</v>
      </c>
      <c r="J162" s="52">
        <f t="shared" si="54"/>
        <v>8008.875</v>
      </c>
      <c r="K162" s="53">
        <v>0.15</v>
      </c>
      <c r="L162" s="52">
        <f t="shared" si="55"/>
        <v>1201.33125</v>
      </c>
      <c r="M162" s="52">
        <f t="shared" si="56"/>
        <v>9210.2062499999993</v>
      </c>
      <c r="N162" s="53">
        <v>0.2</v>
      </c>
      <c r="O162" s="52">
        <f t="shared" si="57"/>
        <v>11512.757812499998</v>
      </c>
      <c r="P162" s="1">
        <f t="shared" si="58"/>
        <v>11510</v>
      </c>
    </row>
    <row r="163" spans="2:16" x14ac:dyDescent="0.25">
      <c r="B163" s="50" t="s">
        <v>2292</v>
      </c>
      <c r="C163" s="51" t="s">
        <v>2293</v>
      </c>
      <c r="D163" s="51" t="s">
        <v>2282</v>
      </c>
      <c r="E163" s="1">
        <v>4390</v>
      </c>
      <c r="F163" s="1">
        <v>0.05</v>
      </c>
      <c r="G163" s="1">
        <v>0.13</v>
      </c>
      <c r="H163" s="1">
        <f t="shared" si="52"/>
        <v>219.5</v>
      </c>
      <c r="I163" s="52">
        <f t="shared" si="53"/>
        <v>599.23500000000001</v>
      </c>
      <c r="J163" s="52">
        <f t="shared" si="54"/>
        <v>5208.7349999999997</v>
      </c>
      <c r="K163" s="53">
        <v>0.15</v>
      </c>
      <c r="L163" s="52">
        <f t="shared" si="55"/>
        <v>781.31024999999988</v>
      </c>
      <c r="M163" s="52">
        <f t="shared" si="56"/>
        <v>5990.0452499999992</v>
      </c>
      <c r="N163" s="53">
        <v>0.2</v>
      </c>
      <c r="O163" s="52">
        <f t="shared" si="57"/>
        <v>7487.556562499999</v>
      </c>
      <c r="P163" s="1">
        <f t="shared" si="58"/>
        <v>7490</v>
      </c>
    </row>
    <row r="164" spans="2:16" x14ac:dyDescent="0.25">
      <c r="B164" s="50" t="s">
        <v>2294</v>
      </c>
      <c r="C164" s="51" t="s">
        <v>2295</v>
      </c>
      <c r="D164" s="51" t="s">
        <v>2282</v>
      </c>
      <c r="E164" s="1">
        <v>4990</v>
      </c>
      <c r="F164" s="1">
        <v>0.05</v>
      </c>
      <c r="G164" s="1">
        <v>0.13</v>
      </c>
      <c r="H164" s="1">
        <f t="shared" si="52"/>
        <v>249.5</v>
      </c>
      <c r="I164" s="52">
        <f t="shared" si="53"/>
        <v>681.13499999999999</v>
      </c>
      <c r="J164" s="52">
        <f t="shared" si="54"/>
        <v>5920.6350000000002</v>
      </c>
      <c r="K164" s="53">
        <v>0.15</v>
      </c>
      <c r="L164" s="52">
        <f t="shared" si="55"/>
        <v>888.09524999999996</v>
      </c>
      <c r="M164" s="52">
        <f t="shared" si="56"/>
        <v>6808.7302500000005</v>
      </c>
      <c r="N164" s="53">
        <v>0.2</v>
      </c>
      <c r="O164" s="52">
        <f t="shared" si="57"/>
        <v>8510.9128125000007</v>
      </c>
      <c r="P164" s="1">
        <f t="shared" si="58"/>
        <v>8510</v>
      </c>
    </row>
    <row r="165" spans="2:16" x14ac:dyDescent="0.25">
      <c r="B165" s="50" t="s">
        <v>2272</v>
      </c>
      <c r="C165" s="51" t="s">
        <v>2296</v>
      </c>
      <c r="D165" s="51" t="s">
        <v>2282</v>
      </c>
      <c r="E165" s="1">
        <v>5730</v>
      </c>
      <c r="F165" s="1">
        <v>0.05</v>
      </c>
      <c r="G165" s="1">
        <v>0.13</v>
      </c>
      <c r="H165" s="1">
        <f t="shared" si="52"/>
        <v>286.5</v>
      </c>
      <c r="I165" s="52">
        <f t="shared" si="53"/>
        <v>782.14499999999998</v>
      </c>
      <c r="J165" s="52">
        <f t="shared" si="54"/>
        <v>6798.6450000000004</v>
      </c>
      <c r="K165" s="53">
        <v>0.15</v>
      </c>
      <c r="L165" s="52">
        <f t="shared" si="55"/>
        <v>1019.79675</v>
      </c>
      <c r="M165" s="52">
        <f t="shared" si="56"/>
        <v>7818.44175</v>
      </c>
      <c r="N165" s="53">
        <v>0.2</v>
      </c>
      <c r="O165" s="52">
        <f t="shared" si="57"/>
        <v>9773.0521874999995</v>
      </c>
      <c r="P165" s="1">
        <f t="shared" si="58"/>
        <v>9770</v>
      </c>
    </row>
    <row r="166" spans="2:16" x14ac:dyDescent="0.25">
      <c r="B166" s="50" t="s">
        <v>2297</v>
      </c>
      <c r="C166" s="51" t="s">
        <v>2298</v>
      </c>
      <c r="D166" s="51" t="s">
        <v>2282</v>
      </c>
      <c r="E166" s="1">
        <v>12540</v>
      </c>
      <c r="F166" s="1">
        <v>0.05</v>
      </c>
      <c r="G166" s="1">
        <v>0.13</v>
      </c>
      <c r="H166" s="1">
        <f t="shared" si="52"/>
        <v>627</v>
      </c>
      <c r="I166" s="52">
        <f t="shared" si="53"/>
        <v>1711.71</v>
      </c>
      <c r="J166" s="52">
        <f t="shared" si="54"/>
        <v>14878.71</v>
      </c>
      <c r="K166" s="53">
        <v>0.15</v>
      </c>
      <c r="L166" s="52">
        <f t="shared" si="55"/>
        <v>2231.8064999999997</v>
      </c>
      <c r="M166" s="52">
        <f t="shared" si="56"/>
        <v>17110.516499999998</v>
      </c>
      <c r="N166" s="53">
        <v>0.2</v>
      </c>
      <c r="O166" s="52">
        <f t="shared" si="57"/>
        <v>21388.145624999997</v>
      </c>
      <c r="P166" s="1">
        <f t="shared" si="58"/>
        <v>21390</v>
      </c>
    </row>
    <row r="167" spans="2:16" x14ac:dyDescent="0.25">
      <c r="B167" s="50" t="s">
        <v>2276</v>
      </c>
      <c r="C167" s="51" t="s">
        <v>2299</v>
      </c>
      <c r="D167" s="51" t="s">
        <v>2282</v>
      </c>
      <c r="E167" s="1">
        <v>3110</v>
      </c>
      <c r="F167" s="1">
        <v>0.05</v>
      </c>
      <c r="G167" s="1">
        <v>0.13</v>
      </c>
      <c r="H167" s="1">
        <f t="shared" si="52"/>
        <v>155.5</v>
      </c>
      <c r="I167" s="52">
        <f t="shared" si="53"/>
        <v>424.51499999999999</v>
      </c>
      <c r="J167" s="52">
        <f t="shared" si="54"/>
        <v>3690.0149999999999</v>
      </c>
      <c r="K167" s="53">
        <v>0.15</v>
      </c>
      <c r="L167" s="52">
        <f t="shared" si="55"/>
        <v>553.50225</v>
      </c>
      <c r="M167" s="52">
        <f t="shared" si="56"/>
        <v>4243.5172499999999</v>
      </c>
      <c r="N167" s="53">
        <v>0.2</v>
      </c>
      <c r="O167" s="52">
        <f t="shared" si="57"/>
        <v>5304.3965624999992</v>
      </c>
      <c r="P167" s="1">
        <f t="shared" si="58"/>
        <v>5300</v>
      </c>
    </row>
    <row r="168" spans="2:16" x14ac:dyDescent="0.25">
      <c r="B168" s="50" t="s">
        <v>2300</v>
      </c>
      <c r="C168" s="51" t="s">
        <v>2301</v>
      </c>
      <c r="D168" s="51" t="s">
        <v>2282</v>
      </c>
      <c r="E168" s="1">
        <v>4050</v>
      </c>
      <c r="F168" s="1">
        <v>0.05</v>
      </c>
      <c r="G168" s="1">
        <v>0.13</v>
      </c>
      <c r="H168" s="1">
        <f t="shared" si="52"/>
        <v>202.5</v>
      </c>
      <c r="I168" s="52">
        <f t="shared" si="53"/>
        <v>552.82500000000005</v>
      </c>
      <c r="J168" s="52">
        <f t="shared" si="54"/>
        <v>4805.3249999999998</v>
      </c>
      <c r="K168" s="53">
        <v>0.15</v>
      </c>
      <c r="L168" s="52">
        <f t="shared" si="55"/>
        <v>720.79874999999993</v>
      </c>
      <c r="M168" s="52">
        <f t="shared" si="56"/>
        <v>5526.1237499999997</v>
      </c>
      <c r="N168" s="53">
        <v>0.2</v>
      </c>
      <c r="O168" s="52">
        <f t="shared" si="57"/>
        <v>6907.6546874999995</v>
      </c>
      <c r="P168" s="1">
        <f t="shared" si="58"/>
        <v>6910</v>
      </c>
    </row>
    <row r="169" spans="2:16" x14ac:dyDescent="0.25">
      <c r="B169" s="50" t="s">
        <v>2302</v>
      </c>
      <c r="C169" s="51" t="s">
        <v>2303</v>
      </c>
      <c r="D169" s="51" t="s">
        <v>2282</v>
      </c>
      <c r="E169" s="1">
        <v>11870</v>
      </c>
      <c r="F169" s="1">
        <v>0.05</v>
      </c>
      <c r="G169" s="1">
        <v>0.13</v>
      </c>
      <c r="H169" s="1">
        <f t="shared" si="52"/>
        <v>593.5</v>
      </c>
      <c r="I169" s="52">
        <f t="shared" si="53"/>
        <v>1620.2550000000001</v>
      </c>
      <c r="J169" s="52">
        <f t="shared" si="54"/>
        <v>14083.755000000001</v>
      </c>
      <c r="K169" s="53">
        <v>0.15</v>
      </c>
      <c r="L169" s="52">
        <f t="shared" si="55"/>
        <v>2112.5632500000002</v>
      </c>
      <c r="M169" s="52">
        <f t="shared" si="56"/>
        <v>16196.31825</v>
      </c>
      <c r="N169" s="53">
        <v>0.2</v>
      </c>
      <c r="O169" s="52">
        <f t="shared" si="57"/>
        <v>20245.397812499999</v>
      </c>
      <c r="P169" s="1">
        <f t="shared" si="58"/>
        <v>20250</v>
      </c>
    </row>
    <row r="170" spans="2:16" x14ac:dyDescent="0.25">
      <c r="B170" s="50" t="s">
        <v>2304</v>
      </c>
      <c r="C170" s="51" t="s">
        <v>2305</v>
      </c>
      <c r="D170" s="51" t="s">
        <v>2282</v>
      </c>
      <c r="E170" s="1">
        <v>10450</v>
      </c>
      <c r="F170" s="1">
        <v>0.05</v>
      </c>
      <c r="G170" s="1">
        <v>0.13</v>
      </c>
      <c r="H170" s="1">
        <f t="shared" si="52"/>
        <v>522.5</v>
      </c>
      <c r="I170" s="52">
        <f t="shared" si="53"/>
        <v>1426.425</v>
      </c>
      <c r="J170" s="52">
        <f t="shared" si="54"/>
        <v>12398.924999999999</v>
      </c>
      <c r="K170" s="53">
        <v>0.15</v>
      </c>
      <c r="L170" s="52">
        <f t="shared" si="55"/>
        <v>1859.8387499999999</v>
      </c>
      <c r="M170" s="52">
        <f t="shared" si="56"/>
        <v>14258.763749999998</v>
      </c>
      <c r="N170" s="53">
        <v>0.2</v>
      </c>
      <c r="O170" s="52">
        <f t="shared" si="57"/>
        <v>17823.454687499998</v>
      </c>
      <c r="P170" s="1">
        <f t="shared" si="58"/>
        <v>17820</v>
      </c>
    </row>
    <row r="171" spans="2:16" x14ac:dyDescent="0.25">
      <c r="B171" s="50" t="s">
        <v>2306</v>
      </c>
      <c r="C171" s="51" t="s">
        <v>2307</v>
      </c>
      <c r="D171" s="51" t="s">
        <v>2282</v>
      </c>
      <c r="E171" s="1">
        <v>10920</v>
      </c>
      <c r="F171" s="1">
        <v>0.05</v>
      </c>
      <c r="G171" s="1">
        <v>0.13</v>
      </c>
      <c r="H171" s="1">
        <f t="shared" si="52"/>
        <v>546</v>
      </c>
      <c r="I171" s="52">
        <f t="shared" si="53"/>
        <v>1490.5800000000002</v>
      </c>
      <c r="J171" s="52">
        <f t="shared" si="54"/>
        <v>12956.58</v>
      </c>
      <c r="K171" s="53">
        <v>0.15</v>
      </c>
      <c r="L171" s="52">
        <f t="shared" si="55"/>
        <v>1943.4869999999999</v>
      </c>
      <c r="M171" s="52">
        <f t="shared" si="56"/>
        <v>14900.066999999999</v>
      </c>
      <c r="N171" s="53">
        <v>0.2</v>
      </c>
      <c r="O171" s="52">
        <f t="shared" si="57"/>
        <v>18625.083749999998</v>
      </c>
      <c r="P171" s="1">
        <f t="shared" si="58"/>
        <v>18630</v>
      </c>
    </row>
    <row r="172" spans="2:16" x14ac:dyDescent="0.25">
      <c r="B172" s="125" t="s">
        <v>2308</v>
      </c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</row>
    <row r="173" spans="2:16" x14ac:dyDescent="0.25">
      <c r="B173" s="50" t="s">
        <v>2257</v>
      </c>
      <c r="C173" s="51" t="s">
        <v>2309</v>
      </c>
      <c r="D173" s="51" t="s">
        <v>2308</v>
      </c>
      <c r="E173" s="1">
        <v>2120</v>
      </c>
      <c r="F173" s="1">
        <v>0.05</v>
      </c>
      <c r="G173" s="1">
        <v>0.13</v>
      </c>
      <c r="H173" s="1">
        <f t="shared" ref="H173:H182" si="59">F173*E173</f>
        <v>106</v>
      </c>
      <c r="I173" s="52">
        <f t="shared" ref="I173:I182" si="60">G173*(E173+H173)</f>
        <v>289.38</v>
      </c>
      <c r="J173" s="52">
        <f t="shared" ref="J173:J182" si="61">E173+H173+I173</f>
        <v>2515.38</v>
      </c>
      <c r="K173" s="53">
        <v>0.15</v>
      </c>
      <c r="L173" s="52">
        <f t="shared" ref="L173:L182" si="62">J173*K173</f>
        <v>377.30700000000002</v>
      </c>
      <c r="M173" s="52">
        <f t="shared" ref="M173:M182" si="63">J173+L173</f>
        <v>2892.6869999999999</v>
      </c>
      <c r="N173" s="53">
        <v>0.2</v>
      </c>
      <c r="O173" s="52">
        <f t="shared" ref="O173:O182" si="64">$M173/(1-N173)</f>
        <v>3615.8587499999999</v>
      </c>
      <c r="P173" s="1">
        <f t="shared" ref="P173:P182" si="65">MROUND(O173,10)</f>
        <v>3620</v>
      </c>
    </row>
    <row r="174" spans="2:16" x14ac:dyDescent="0.25">
      <c r="B174" s="50" t="s">
        <v>2288</v>
      </c>
      <c r="C174" s="51" t="s">
        <v>2310</v>
      </c>
      <c r="D174" s="51" t="s">
        <v>2308</v>
      </c>
      <c r="E174" s="1">
        <v>8040</v>
      </c>
      <c r="F174" s="1">
        <v>0.05</v>
      </c>
      <c r="G174" s="1">
        <v>0.13</v>
      </c>
      <c r="H174" s="1">
        <f t="shared" si="59"/>
        <v>402</v>
      </c>
      <c r="I174" s="52">
        <f t="shared" si="60"/>
        <v>1097.46</v>
      </c>
      <c r="J174" s="52">
        <f t="shared" si="61"/>
        <v>9539.4599999999991</v>
      </c>
      <c r="K174" s="53">
        <v>0.15</v>
      </c>
      <c r="L174" s="52">
        <f t="shared" si="62"/>
        <v>1430.9189999999999</v>
      </c>
      <c r="M174" s="52">
        <f t="shared" si="63"/>
        <v>10970.378999999999</v>
      </c>
      <c r="N174" s="53">
        <v>0.2</v>
      </c>
      <c r="O174" s="52">
        <f t="shared" si="64"/>
        <v>13712.973749999997</v>
      </c>
      <c r="P174" s="1">
        <f t="shared" si="65"/>
        <v>13710</v>
      </c>
    </row>
    <row r="175" spans="2:16" x14ac:dyDescent="0.25">
      <c r="B175" s="50" t="s">
        <v>2264</v>
      </c>
      <c r="C175" s="51" t="s">
        <v>2311</v>
      </c>
      <c r="D175" s="51" t="s">
        <v>2308</v>
      </c>
      <c r="E175" s="1">
        <v>10430</v>
      </c>
      <c r="F175" s="1">
        <v>0.05</v>
      </c>
      <c r="G175" s="1">
        <v>0.13</v>
      </c>
      <c r="H175" s="1">
        <f t="shared" si="59"/>
        <v>521.5</v>
      </c>
      <c r="I175" s="52">
        <f t="shared" si="60"/>
        <v>1423.6949999999999</v>
      </c>
      <c r="J175" s="52">
        <f t="shared" si="61"/>
        <v>12375.195</v>
      </c>
      <c r="K175" s="53">
        <v>0.15</v>
      </c>
      <c r="L175" s="52">
        <f t="shared" si="62"/>
        <v>1856.2792499999998</v>
      </c>
      <c r="M175" s="52">
        <f t="shared" si="63"/>
        <v>14231.474249999999</v>
      </c>
      <c r="N175" s="53">
        <v>0.2</v>
      </c>
      <c r="O175" s="52">
        <f t="shared" si="64"/>
        <v>17789.342812499999</v>
      </c>
      <c r="P175" s="1">
        <f t="shared" si="65"/>
        <v>17790</v>
      </c>
    </row>
    <row r="176" spans="2:16" x14ac:dyDescent="0.25">
      <c r="B176" s="50" t="s">
        <v>2290</v>
      </c>
      <c r="C176" s="51" t="s">
        <v>2312</v>
      </c>
      <c r="D176" s="51" t="s">
        <v>2308</v>
      </c>
      <c r="E176" s="1">
        <v>6260</v>
      </c>
      <c r="F176" s="1">
        <v>0.05</v>
      </c>
      <c r="G176" s="1">
        <v>0.13</v>
      </c>
      <c r="H176" s="1">
        <f t="shared" si="59"/>
        <v>313</v>
      </c>
      <c r="I176" s="52">
        <f t="shared" si="60"/>
        <v>854.49</v>
      </c>
      <c r="J176" s="52">
        <f t="shared" si="61"/>
        <v>7427.49</v>
      </c>
      <c r="K176" s="53">
        <v>0.15</v>
      </c>
      <c r="L176" s="52">
        <f t="shared" si="62"/>
        <v>1114.1234999999999</v>
      </c>
      <c r="M176" s="52">
        <f t="shared" si="63"/>
        <v>8541.6134999999995</v>
      </c>
      <c r="N176" s="53">
        <v>0.2</v>
      </c>
      <c r="O176" s="52">
        <f t="shared" si="64"/>
        <v>10677.016874999999</v>
      </c>
      <c r="P176" s="1">
        <f t="shared" si="65"/>
        <v>10680</v>
      </c>
    </row>
    <row r="177" spans="2:16" x14ac:dyDescent="0.25">
      <c r="B177" s="50" t="s">
        <v>2313</v>
      </c>
      <c r="C177" s="51" t="s">
        <v>2314</v>
      </c>
      <c r="D177" s="51" t="s">
        <v>2308</v>
      </c>
      <c r="E177" s="1">
        <v>3830</v>
      </c>
      <c r="F177" s="1">
        <v>0.05</v>
      </c>
      <c r="G177" s="1">
        <v>0.13</v>
      </c>
      <c r="H177" s="1">
        <f t="shared" si="59"/>
        <v>191.5</v>
      </c>
      <c r="I177" s="52">
        <f t="shared" si="60"/>
        <v>522.79500000000007</v>
      </c>
      <c r="J177" s="52">
        <f t="shared" si="61"/>
        <v>4544.2950000000001</v>
      </c>
      <c r="K177" s="53">
        <v>0.15</v>
      </c>
      <c r="L177" s="52">
        <f t="shared" si="62"/>
        <v>681.64424999999994</v>
      </c>
      <c r="M177" s="52">
        <f t="shared" si="63"/>
        <v>5225.9392500000004</v>
      </c>
      <c r="N177" s="53">
        <v>0.2</v>
      </c>
      <c r="O177" s="52">
        <f t="shared" si="64"/>
        <v>6532.4240625000002</v>
      </c>
      <c r="P177" s="1">
        <f t="shared" si="65"/>
        <v>6530</v>
      </c>
    </row>
    <row r="178" spans="2:16" x14ac:dyDescent="0.25">
      <c r="B178" s="50" t="s">
        <v>2294</v>
      </c>
      <c r="C178" s="51" t="s">
        <v>2315</v>
      </c>
      <c r="D178" s="51" t="s">
        <v>2308</v>
      </c>
      <c r="E178" s="1">
        <v>4780</v>
      </c>
      <c r="F178" s="1">
        <v>0.05</v>
      </c>
      <c r="G178" s="1">
        <v>0.13</v>
      </c>
      <c r="H178" s="1">
        <f t="shared" si="59"/>
        <v>239</v>
      </c>
      <c r="I178" s="52">
        <f t="shared" si="60"/>
        <v>652.47</v>
      </c>
      <c r="J178" s="52">
        <f t="shared" si="61"/>
        <v>5671.47</v>
      </c>
      <c r="K178" s="53">
        <v>0.15</v>
      </c>
      <c r="L178" s="52">
        <f t="shared" si="62"/>
        <v>850.72050000000002</v>
      </c>
      <c r="M178" s="52">
        <f t="shared" si="63"/>
        <v>6522.1905000000006</v>
      </c>
      <c r="N178" s="53">
        <v>0.2</v>
      </c>
      <c r="O178" s="52">
        <f t="shared" si="64"/>
        <v>8152.7381250000008</v>
      </c>
      <c r="P178" s="1">
        <f t="shared" si="65"/>
        <v>8150</v>
      </c>
    </row>
    <row r="179" spans="2:16" x14ac:dyDescent="0.25">
      <c r="B179" s="50" t="s">
        <v>2300</v>
      </c>
      <c r="C179" s="51" t="s">
        <v>2316</v>
      </c>
      <c r="D179" s="51" t="s">
        <v>2308</v>
      </c>
      <c r="E179" s="1">
        <v>3570</v>
      </c>
      <c r="F179" s="1">
        <v>0.05</v>
      </c>
      <c r="G179" s="1">
        <v>0.13</v>
      </c>
      <c r="H179" s="1">
        <f t="shared" si="59"/>
        <v>178.5</v>
      </c>
      <c r="I179" s="52">
        <f t="shared" si="60"/>
        <v>487.30500000000001</v>
      </c>
      <c r="J179" s="52">
        <f t="shared" si="61"/>
        <v>4235.8050000000003</v>
      </c>
      <c r="K179" s="53">
        <v>0.15</v>
      </c>
      <c r="L179" s="52">
        <f t="shared" si="62"/>
        <v>635.37075000000004</v>
      </c>
      <c r="M179" s="52">
        <f t="shared" si="63"/>
        <v>4871.1757500000003</v>
      </c>
      <c r="N179" s="53">
        <v>0.2</v>
      </c>
      <c r="O179" s="52">
        <f t="shared" si="64"/>
        <v>6088.9696875</v>
      </c>
      <c r="P179" s="1">
        <f t="shared" si="65"/>
        <v>6090</v>
      </c>
    </row>
    <row r="180" spans="2:16" x14ac:dyDescent="0.25">
      <c r="B180" s="50" t="s">
        <v>2302</v>
      </c>
      <c r="C180" s="51" t="s">
        <v>2317</v>
      </c>
      <c r="D180" s="51" t="s">
        <v>2308</v>
      </c>
      <c r="E180" s="1">
        <v>11960</v>
      </c>
      <c r="F180" s="1">
        <v>0.05</v>
      </c>
      <c r="G180" s="1">
        <v>0.13</v>
      </c>
      <c r="H180" s="1">
        <f t="shared" si="59"/>
        <v>598</v>
      </c>
      <c r="I180" s="52">
        <f t="shared" si="60"/>
        <v>1632.54</v>
      </c>
      <c r="J180" s="52">
        <f t="shared" si="61"/>
        <v>14190.54</v>
      </c>
      <c r="K180" s="53">
        <v>0.15</v>
      </c>
      <c r="L180" s="52">
        <f t="shared" si="62"/>
        <v>2128.5810000000001</v>
      </c>
      <c r="M180" s="52">
        <f t="shared" si="63"/>
        <v>16319.121000000001</v>
      </c>
      <c r="N180" s="53">
        <v>0.2</v>
      </c>
      <c r="O180" s="52">
        <f t="shared" si="64"/>
        <v>20398.901249999999</v>
      </c>
      <c r="P180" s="1">
        <f t="shared" si="65"/>
        <v>20400</v>
      </c>
    </row>
    <row r="181" spans="2:16" x14ac:dyDescent="0.25">
      <c r="B181" s="50" t="s">
        <v>2304</v>
      </c>
      <c r="C181" s="51" t="s">
        <v>2318</v>
      </c>
      <c r="D181" s="51" t="s">
        <v>2308</v>
      </c>
      <c r="E181" s="1">
        <v>9630</v>
      </c>
      <c r="F181" s="1">
        <v>0.05</v>
      </c>
      <c r="G181" s="1">
        <v>0.13</v>
      </c>
      <c r="H181" s="1">
        <f t="shared" si="59"/>
        <v>481.5</v>
      </c>
      <c r="I181" s="52">
        <f t="shared" si="60"/>
        <v>1314.4950000000001</v>
      </c>
      <c r="J181" s="52">
        <f t="shared" si="61"/>
        <v>11425.995000000001</v>
      </c>
      <c r="K181" s="53">
        <v>0.15</v>
      </c>
      <c r="L181" s="52">
        <f t="shared" si="62"/>
        <v>1713.8992500000002</v>
      </c>
      <c r="M181" s="52">
        <f t="shared" si="63"/>
        <v>13139.894250000001</v>
      </c>
      <c r="N181" s="53">
        <v>0.2</v>
      </c>
      <c r="O181" s="52">
        <f t="shared" si="64"/>
        <v>16424.867812500001</v>
      </c>
      <c r="P181" s="1">
        <f t="shared" si="65"/>
        <v>16420</v>
      </c>
    </row>
    <row r="182" spans="2:16" x14ac:dyDescent="0.25">
      <c r="B182" s="50" t="s">
        <v>2306</v>
      </c>
      <c r="C182" s="51" t="s">
        <v>2319</v>
      </c>
      <c r="D182" s="51" t="s">
        <v>2308</v>
      </c>
      <c r="E182" s="1">
        <v>10850</v>
      </c>
      <c r="F182" s="1">
        <v>0.05</v>
      </c>
      <c r="G182" s="1">
        <v>0.13</v>
      </c>
      <c r="H182" s="1">
        <f t="shared" si="59"/>
        <v>542.5</v>
      </c>
      <c r="I182" s="52">
        <f t="shared" si="60"/>
        <v>1481.0250000000001</v>
      </c>
      <c r="J182" s="52">
        <f t="shared" si="61"/>
        <v>12873.525</v>
      </c>
      <c r="K182" s="53">
        <v>0.15</v>
      </c>
      <c r="L182" s="52">
        <f t="shared" si="62"/>
        <v>1931.0287499999999</v>
      </c>
      <c r="M182" s="52">
        <f t="shared" si="63"/>
        <v>14804.553749999999</v>
      </c>
      <c r="N182" s="53">
        <v>0.2</v>
      </c>
      <c r="O182" s="52">
        <f t="shared" si="64"/>
        <v>18505.692187499997</v>
      </c>
      <c r="P182" s="1">
        <f t="shared" si="65"/>
        <v>18510</v>
      </c>
    </row>
    <row r="183" spans="2:16" x14ac:dyDescent="0.25">
      <c r="B183" s="125" t="s">
        <v>2320</v>
      </c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</row>
    <row r="184" spans="2:16" x14ac:dyDescent="0.25">
      <c r="B184" s="50" t="s">
        <v>2257</v>
      </c>
      <c r="C184" s="51" t="s">
        <v>2321</v>
      </c>
      <c r="D184" s="51" t="s">
        <v>2320</v>
      </c>
      <c r="E184" s="1">
        <v>2070</v>
      </c>
      <c r="F184" s="1">
        <v>0.05</v>
      </c>
      <c r="G184" s="1">
        <v>0.13</v>
      </c>
      <c r="H184" s="1">
        <f t="shared" ref="H184:H193" si="66">F184*E184</f>
        <v>103.5</v>
      </c>
      <c r="I184" s="52">
        <f t="shared" ref="I184:I193" si="67">G184*(E184+H184)</f>
        <v>282.55500000000001</v>
      </c>
      <c r="J184" s="52">
        <f t="shared" ref="J184:J193" si="68">E184+H184+I184</f>
        <v>2456.0549999999998</v>
      </c>
      <c r="K184" s="53">
        <v>0.15</v>
      </c>
      <c r="L184" s="52">
        <f t="shared" ref="L184:L193" si="69">J184*K184</f>
        <v>368.40824999999995</v>
      </c>
      <c r="M184" s="52">
        <f t="shared" ref="M184:M193" si="70">J184+L184</f>
        <v>2824.4632499999998</v>
      </c>
      <c r="N184" s="53">
        <v>0.2</v>
      </c>
      <c r="O184" s="52">
        <f t="shared" ref="O184:O193" si="71">$M184/(1-N184)</f>
        <v>3530.5790624999995</v>
      </c>
      <c r="P184" s="1">
        <f t="shared" ref="P184:P193" si="72">MROUND(O184,10)</f>
        <v>3530</v>
      </c>
    </row>
    <row r="185" spans="2:16" x14ac:dyDescent="0.25">
      <c r="B185" s="50" t="s">
        <v>2288</v>
      </c>
      <c r="C185" s="51" t="s">
        <v>2322</v>
      </c>
      <c r="D185" s="51" t="s">
        <v>2320</v>
      </c>
      <c r="E185" s="1">
        <v>8170</v>
      </c>
      <c r="F185" s="1">
        <v>0.05</v>
      </c>
      <c r="G185" s="1">
        <v>0.13</v>
      </c>
      <c r="H185" s="1">
        <f t="shared" si="66"/>
        <v>408.5</v>
      </c>
      <c r="I185" s="52">
        <f t="shared" si="67"/>
        <v>1115.2049999999999</v>
      </c>
      <c r="J185" s="52">
        <f t="shared" si="68"/>
        <v>9693.7049999999999</v>
      </c>
      <c r="K185" s="53">
        <v>0.15</v>
      </c>
      <c r="L185" s="52">
        <f t="shared" si="69"/>
        <v>1454.05575</v>
      </c>
      <c r="M185" s="52">
        <f t="shared" si="70"/>
        <v>11147.760749999999</v>
      </c>
      <c r="N185" s="53">
        <v>0.2</v>
      </c>
      <c r="O185" s="52">
        <f t="shared" si="71"/>
        <v>13934.700937499998</v>
      </c>
      <c r="P185" s="1">
        <f t="shared" si="72"/>
        <v>13930</v>
      </c>
    </row>
    <row r="186" spans="2:16" x14ac:dyDescent="0.25">
      <c r="B186" s="50" t="s">
        <v>2264</v>
      </c>
      <c r="C186" s="51" t="s">
        <v>2323</v>
      </c>
      <c r="D186" s="51" t="s">
        <v>2320</v>
      </c>
      <c r="E186" s="1">
        <v>12350</v>
      </c>
      <c r="F186" s="1">
        <v>0.05</v>
      </c>
      <c r="G186" s="1">
        <v>0.13</v>
      </c>
      <c r="H186" s="1">
        <f t="shared" si="66"/>
        <v>617.5</v>
      </c>
      <c r="I186" s="52">
        <f t="shared" si="67"/>
        <v>1685.7750000000001</v>
      </c>
      <c r="J186" s="52">
        <f t="shared" si="68"/>
        <v>14653.275</v>
      </c>
      <c r="K186" s="53">
        <v>0.15</v>
      </c>
      <c r="L186" s="52">
        <f t="shared" si="69"/>
        <v>2197.99125</v>
      </c>
      <c r="M186" s="52">
        <f t="shared" si="70"/>
        <v>16851.266250000001</v>
      </c>
      <c r="N186" s="53">
        <v>0.2</v>
      </c>
      <c r="O186" s="52">
        <f t="shared" si="71"/>
        <v>21064.082812500001</v>
      </c>
      <c r="P186" s="1">
        <f t="shared" si="72"/>
        <v>21060</v>
      </c>
    </row>
    <row r="187" spans="2:16" x14ac:dyDescent="0.25">
      <c r="B187" s="50" t="s">
        <v>2313</v>
      </c>
      <c r="C187" s="51" t="s">
        <v>2324</v>
      </c>
      <c r="D187" s="51" t="s">
        <v>2320</v>
      </c>
      <c r="E187" s="1">
        <v>3670</v>
      </c>
      <c r="F187" s="1">
        <v>0.05</v>
      </c>
      <c r="G187" s="1">
        <v>0.13</v>
      </c>
      <c r="H187" s="1">
        <f t="shared" si="66"/>
        <v>183.5</v>
      </c>
      <c r="I187" s="52">
        <f t="shared" si="67"/>
        <v>500.95500000000004</v>
      </c>
      <c r="J187" s="52">
        <f t="shared" si="68"/>
        <v>4354.4549999999999</v>
      </c>
      <c r="K187" s="53">
        <v>0.15</v>
      </c>
      <c r="L187" s="52">
        <f t="shared" si="69"/>
        <v>653.16824999999994</v>
      </c>
      <c r="M187" s="52">
        <f t="shared" si="70"/>
        <v>5007.6232499999996</v>
      </c>
      <c r="N187" s="53">
        <v>0.2</v>
      </c>
      <c r="O187" s="52">
        <f t="shared" si="71"/>
        <v>6259.5290624999989</v>
      </c>
      <c r="P187" s="1">
        <f t="shared" si="72"/>
        <v>6260</v>
      </c>
    </row>
    <row r="188" spans="2:16" x14ac:dyDescent="0.25">
      <c r="B188" s="50" t="s">
        <v>2325</v>
      </c>
      <c r="C188" s="51" t="s">
        <v>2326</v>
      </c>
      <c r="D188" s="51" t="s">
        <v>2320</v>
      </c>
      <c r="E188" s="1">
        <v>7600</v>
      </c>
      <c r="F188" s="1">
        <v>0.05</v>
      </c>
      <c r="G188" s="1">
        <v>0.13</v>
      </c>
      <c r="H188" s="1">
        <f t="shared" si="66"/>
        <v>380</v>
      </c>
      <c r="I188" s="52">
        <f t="shared" si="67"/>
        <v>1037.4000000000001</v>
      </c>
      <c r="J188" s="52">
        <f t="shared" si="68"/>
        <v>9017.4</v>
      </c>
      <c r="K188" s="53">
        <v>0.15</v>
      </c>
      <c r="L188" s="52">
        <f t="shared" si="69"/>
        <v>1352.61</v>
      </c>
      <c r="M188" s="52">
        <f t="shared" si="70"/>
        <v>10370.01</v>
      </c>
      <c r="N188" s="53">
        <v>0.2</v>
      </c>
      <c r="O188" s="52">
        <f t="shared" si="71"/>
        <v>12962.512499999999</v>
      </c>
      <c r="P188" s="1">
        <f t="shared" si="72"/>
        <v>12960</v>
      </c>
    </row>
    <row r="189" spans="2:16" x14ac:dyDescent="0.25">
      <c r="B189" s="54" t="s">
        <v>2276</v>
      </c>
      <c r="C189" s="1" t="s">
        <v>2327</v>
      </c>
      <c r="D189" s="1" t="s">
        <v>2320</v>
      </c>
      <c r="E189" s="1">
        <v>2620</v>
      </c>
      <c r="F189" s="1">
        <v>0.05</v>
      </c>
      <c r="G189" s="1">
        <v>0.13</v>
      </c>
      <c r="H189" s="1">
        <f t="shared" si="66"/>
        <v>131</v>
      </c>
      <c r="I189" s="52">
        <f t="shared" si="67"/>
        <v>357.63</v>
      </c>
      <c r="J189" s="52">
        <f t="shared" si="68"/>
        <v>3108.63</v>
      </c>
      <c r="K189" s="53">
        <v>0.15</v>
      </c>
      <c r="L189" s="52">
        <f t="shared" si="69"/>
        <v>466.29449999999997</v>
      </c>
      <c r="M189" s="52">
        <f t="shared" si="70"/>
        <v>3574.9245000000001</v>
      </c>
      <c r="N189" s="53">
        <v>0.2</v>
      </c>
      <c r="O189" s="52">
        <f t="shared" si="71"/>
        <v>4468.6556249999994</v>
      </c>
      <c r="P189" s="1">
        <f t="shared" si="72"/>
        <v>4470</v>
      </c>
    </row>
    <row r="190" spans="2:16" x14ac:dyDescent="0.25">
      <c r="B190" s="50" t="s">
        <v>2300</v>
      </c>
      <c r="C190" s="51" t="s">
        <v>2328</v>
      </c>
      <c r="D190" s="51" t="s">
        <v>2320</v>
      </c>
      <c r="E190" s="1">
        <v>3390</v>
      </c>
      <c r="F190" s="1">
        <v>0.05</v>
      </c>
      <c r="G190" s="1">
        <v>0.13</v>
      </c>
      <c r="H190" s="1">
        <f t="shared" si="66"/>
        <v>169.5</v>
      </c>
      <c r="I190" s="52">
        <f t="shared" si="67"/>
        <v>462.73500000000001</v>
      </c>
      <c r="J190" s="52">
        <f t="shared" si="68"/>
        <v>4022.2350000000001</v>
      </c>
      <c r="K190" s="53">
        <v>0.15</v>
      </c>
      <c r="L190" s="52">
        <f t="shared" si="69"/>
        <v>603.33524999999997</v>
      </c>
      <c r="M190" s="52">
        <f t="shared" si="70"/>
        <v>4625.5702499999998</v>
      </c>
      <c r="N190" s="53">
        <v>0.2</v>
      </c>
      <c r="O190" s="52">
        <f t="shared" si="71"/>
        <v>5781.962812499999</v>
      </c>
      <c r="P190" s="1">
        <f t="shared" si="72"/>
        <v>5780</v>
      </c>
    </row>
    <row r="191" spans="2:16" x14ac:dyDescent="0.25">
      <c r="B191" s="50" t="s">
        <v>2302</v>
      </c>
      <c r="C191" s="51" t="s">
        <v>2329</v>
      </c>
      <c r="D191" s="51" t="s">
        <v>2320</v>
      </c>
      <c r="E191" s="1">
        <v>12070</v>
      </c>
      <c r="F191" s="1">
        <v>0.05</v>
      </c>
      <c r="G191" s="1">
        <v>0.13</v>
      </c>
      <c r="H191" s="1">
        <f t="shared" si="66"/>
        <v>603.5</v>
      </c>
      <c r="I191" s="52">
        <f t="shared" si="67"/>
        <v>1647.5550000000001</v>
      </c>
      <c r="J191" s="52">
        <f t="shared" si="68"/>
        <v>14321.055</v>
      </c>
      <c r="K191" s="53">
        <v>0.15</v>
      </c>
      <c r="L191" s="52">
        <f t="shared" si="69"/>
        <v>2148.15825</v>
      </c>
      <c r="M191" s="52">
        <f t="shared" si="70"/>
        <v>16469.213250000001</v>
      </c>
      <c r="N191" s="53">
        <v>0.2</v>
      </c>
      <c r="O191" s="52">
        <f t="shared" si="71"/>
        <v>20586.516562500001</v>
      </c>
      <c r="P191" s="1">
        <f t="shared" si="72"/>
        <v>20590</v>
      </c>
    </row>
    <row r="192" spans="2:16" x14ac:dyDescent="0.25">
      <c r="B192" s="50" t="s">
        <v>2304</v>
      </c>
      <c r="C192" s="51" t="s">
        <v>2330</v>
      </c>
      <c r="D192" s="51" t="s">
        <v>2320</v>
      </c>
      <c r="E192" s="1">
        <v>9870</v>
      </c>
      <c r="F192" s="1">
        <v>0.05</v>
      </c>
      <c r="G192" s="1">
        <v>0.13</v>
      </c>
      <c r="H192" s="1">
        <f t="shared" si="66"/>
        <v>493.5</v>
      </c>
      <c r="I192" s="52">
        <f t="shared" si="67"/>
        <v>1347.2550000000001</v>
      </c>
      <c r="J192" s="52">
        <f t="shared" si="68"/>
        <v>11710.755000000001</v>
      </c>
      <c r="K192" s="53">
        <v>0.15</v>
      </c>
      <c r="L192" s="52">
        <f t="shared" si="69"/>
        <v>1756.6132500000001</v>
      </c>
      <c r="M192" s="52">
        <f t="shared" si="70"/>
        <v>13467.368250000001</v>
      </c>
      <c r="N192" s="53">
        <v>0.2</v>
      </c>
      <c r="O192" s="52">
        <f t="shared" si="71"/>
        <v>16834.210312499999</v>
      </c>
      <c r="P192" s="1">
        <f t="shared" si="72"/>
        <v>16830</v>
      </c>
    </row>
    <row r="193" spans="2:16" x14ac:dyDescent="0.25">
      <c r="B193" s="50" t="s">
        <v>2306</v>
      </c>
      <c r="C193" s="51" t="s">
        <v>2331</v>
      </c>
      <c r="D193" s="51" t="s">
        <v>2320</v>
      </c>
      <c r="E193" s="1">
        <v>10300</v>
      </c>
      <c r="F193" s="1">
        <v>0.05</v>
      </c>
      <c r="G193" s="1">
        <v>0.13</v>
      </c>
      <c r="H193" s="1">
        <f t="shared" si="66"/>
        <v>515</v>
      </c>
      <c r="I193" s="52">
        <f t="shared" si="67"/>
        <v>1405.95</v>
      </c>
      <c r="J193" s="52">
        <f t="shared" si="68"/>
        <v>12220.95</v>
      </c>
      <c r="K193" s="53">
        <v>0.15</v>
      </c>
      <c r="L193" s="52">
        <f t="shared" si="69"/>
        <v>1833.1425000000002</v>
      </c>
      <c r="M193" s="52">
        <f t="shared" si="70"/>
        <v>14054.092500000001</v>
      </c>
      <c r="N193" s="53">
        <v>0.2</v>
      </c>
      <c r="O193" s="52">
        <f t="shared" si="71"/>
        <v>17567.615624999999</v>
      </c>
      <c r="P193" s="1">
        <f t="shared" si="72"/>
        <v>17570</v>
      </c>
    </row>
    <row r="194" spans="2:16" x14ac:dyDescent="0.25">
      <c r="B194" s="129" t="s">
        <v>2332</v>
      </c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</row>
    <row r="195" spans="2:16" x14ac:dyDescent="0.25">
      <c r="B195" s="50" t="s">
        <v>2257</v>
      </c>
      <c r="C195" s="51" t="s">
        <v>2333</v>
      </c>
      <c r="D195" s="51" t="s">
        <v>2332</v>
      </c>
      <c r="E195" s="1">
        <v>1890</v>
      </c>
      <c r="F195" s="1">
        <v>0.05</v>
      </c>
      <c r="G195" s="1">
        <v>0.13</v>
      </c>
      <c r="H195" s="1">
        <f t="shared" ref="H195:H208" si="73">F195*E195</f>
        <v>94.5</v>
      </c>
      <c r="I195" s="52">
        <f t="shared" ref="I195:I208" si="74">G195*(E195+H195)</f>
        <v>257.98500000000001</v>
      </c>
      <c r="J195" s="52">
        <f t="shared" ref="J195:J208" si="75">E195+H195+I195</f>
        <v>2242.4850000000001</v>
      </c>
      <c r="K195" s="53">
        <v>0.15</v>
      </c>
      <c r="L195" s="52">
        <f t="shared" ref="L195:L208" si="76">J195*K195</f>
        <v>336.37275</v>
      </c>
      <c r="M195" s="52">
        <f t="shared" ref="M195:M208" si="77">J195+L195</f>
        <v>2578.8577500000001</v>
      </c>
      <c r="N195" s="53">
        <v>0.2</v>
      </c>
      <c r="O195" s="52">
        <f t="shared" ref="O195:O208" si="78">$M195/(1-N195)</f>
        <v>3223.5721874999999</v>
      </c>
      <c r="P195" s="1">
        <f t="shared" ref="P195:P208" si="79">MROUND(O195,10)</f>
        <v>3220</v>
      </c>
    </row>
    <row r="196" spans="2:16" x14ac:dyDescent="0.25">
      <c r="B196" s="54" t="s">
        <v>2284</v>
      </c>
      <c r="C196" s="1" t="s">
        <v>2334</v>
      </c>
      <c r="D196" s="1" t="s">
        <v>2332</v>
      </c>
      <c r="E196" s="1">
        <v>3850</v>
      </c>
      <c r="F196" s="1">
        <v>0.05</v>
      </c>
      <c r="G196" s="1">
        <v>0.13</v>
      </c>
      <c r="H196" s="1">
        <f t="shared" si="73"/>
        <v>192.5</v>
      </c>
      <c r="I196" s="52">
        <f t="shared" si="74"/>
        <v>525.52499999999998</v>
      </c>
      <c r="J196" s="52">
        <f t="shared" si="75"/>
        <v>4568.0249999999996</v>
      </c>
      <c r="K196" s="53">
        <v>0.15</v>
      </c>
      <c r="L196" s="52">
        <f t="shared" si="76"/>
        <v>685.2037499999999</v>
      </c>
      <c r="M196" s="52">
        <f t="shared" si="77"/>
        <v>5253.2287499999993</v>
      </c>
      <c r="N196" s="53">
        <v>0.2</v>
      </c>
      <c r="O196" s="52">
        <f t="shared" si="78"/>
        <v>6566.5359374999989</v>
      </c>
      <c r="P196" s="1">
        <f t="shared" si="79"/>
        <v>6570</v>
      </c>
    </row>
    <row r="197" spans="2:16" x14ac:dyDescent="0.25">
      <c r="B197" s="54" t="s">
        <v>2286</v>
      </c>
      <c r="C197" s="1" t="s">
        <v>2335</v>
      </c>
      <c r="D197" s="1" t="s">
        <v>2332</v>
      </c>
      <c r="E197" s="1">
        <v>4010</v>
      </c>
      <c r="F197" s="1">
        <v>0.05</v>
      </c>
      <c r="G197" s="1">
        <v>0.13</v>
      </c>
      <c r="H197" s="1">
        <f t="shared" si="73"/>
        <v>200.5</v>
      </c>
      <c r="I197" s="52">
        <f t="shared" si="74"/>
        <v>547.36500000000001</v>
      </c>
      <c r="J197" s="52">
        <f t="shared" si="75"/>
        <v>4757.8649999999998</v>
      </c>
      <c r="K197" s="53">
        <v>0.15</v>
      </c>
      <c r="L197" s="52">
        <f t="shared" si="76"/>
        <v>713.6797499999999</v>
      </c>
      <c r="M197" s="52">
        <f t="shared" si="77"/>
        <v>5471.54475</v>
      </c>
      <c r="N197" s="53">
        <v>0.2</v>
      </c>
      <c r="O197" s="52">
        <f t="shared" si="78"/>
        <v>6839.4309374999993</v>
      </c>
      <c r="P197" s="1">
        <f t="shared" si="79"/>
        <v>6840</v>
      </c>
    </row>
    <row r="198" spans="2:16" x14ac:dyDescent="0.25">
      <c r="B198" s="50" t="s">
        <v>2288</v>
      </c>
      <c r="C198" s="51" t="s">
        <v>2336</v>
      </c>
      <c r="D198" s="51" t="s">
        <v>2332</v>
      </c>
      <c r="E198" s="1">
        <v>7040</v>
      </c>
      <c r="F198" s="1">
        <v>0.05</v>
      </c>
      <c r="G198" s="1">
        <v>0.13</v>
      </c>
      <c r="H198" s="1">
        <f t="shared" si="73"/>
        <v>352</v>
      </c>
      <c r="I198" s="52">
        <f t="shared" si="74"/>
        <v>960.96</v>
      </c>
      <c r="J198" s="52">
        <f t="shared" si="75"/>
        <v>8352.9599999999991</v>
      </c>
      <c r="K198" s="53">
        <v>0.15</v>
      </c>
      <c r="L198" s="52">
        <f t="shared" si="76"/>
        <v>1252.9439999999997</v>
      </c>
      <c r="M198" s="52">
        <f t="shared" si="77"/>
        <v>9605.9039999999986</v>
      </c>
      <c r="N198" s="53">
        <v>0.2</v>
      </c>
      <c r="O198" s="52">
        <f t="shared" si="78"/>
        <v>12007.379999999997</v>
      </c>
      <c r="P198" s="1">
        <f t="shared" si="79"/>
        <v>12010</v>
      </c>
    </row>
    <row r="199" spans="2:16" x14ac:dyDescent="0.25">
      <c r="B199" s="50" t="s">
        <v>2264</v>
      </c>
      <c r="C199" s="51" t="s">
        <v>2337</v>
      </c>
      <c r="D199" s="51" t="s">
        <v>2332</v>
      </c>
      <c r="E199" s="1">
        <v>10000</v>
      </c>
      <c r="F199" s="1">
        <v>0.05</v>
      </c>
      <c r="G199" s="1">
        <v>0.13</v>
      </c>
      <c r="H199" s="1">
        <f t="shared" si="73"/>
        <v>500</v>
      </c>
      <c r="I199" s="52">
        <f t="shared" si="74"/>
        <v>1365</v>
      </c>
      <c r="J199" s="52">
        <f t="shared" si="75"/>
        <v>11865</v>
      </c>
      <c r="K199" s="53">
        <v>0.15</v>
      </c>
      <c r="L199" s="52">
        <f t="shared" si="76"/>
        <v>1779.75</v>
      </c>
      <c r="M199" s="52">
        <f t="shared" si="77"/>
        <v>13644.75</v>
      </c>
      <c r="N199" s="53">
        <v>0.2</v>
      </c>
      <c r="O199" s="52">
        <f t="shared" si="78"/>
        <v>17055.9375</v>
      </c>
      <c r="P199" s="1">
        <f t="shared" si="79"/>
        <v>17060</v>
      </c>
    </row>
    <row r="200" spans="2:16" x14ac:dyDescent="0.25">
      <c r="B200" s="50" t="s">
        <v>2292</v>
      </c>
      <c r="C200" s="51" t="s">
        <v>2338</v>
      </c>
      <c r="D200" s="51" t="s">
        <v>2332</v>
      </c>
      <c r="E200" s="1">
        <v>3270</v>
      </c>
      <c r="F200" s="1">
        <v>0.05</v>
      </c>
      <c r="G200" s="1">
        <v>0.13</v>
      </c>
      <c r="H200" s="1">
        <f t="shared" si="73"/>
        <v>163.5</v>
      </c>
      <c r="I200" s="52">
        <f t="shared" si="74"/>
        <v>446.35500000000002</v>
      </c>
      <c r="J200" s="52">
        <f t="shared" si="75"/>
        <v>3879.855</v>
      </c>
      <c r="K200" s="53">
        <v>0.15</v>
      </c>
      <c r="L200" s="52">
        <f t="shared" si="76"/>
        <v>581.97825</v>
      </c>
      <c r="M200" s="52">
        <f t="shared" si="77"/>
        <v>4461.8332499999997</v>
      </c>
      <c r="N200" s="53">
        <v>0.2</v>
      </c>
      <c r="O200" s="52">
        <f t="shared" si="78"/>
        <v>5577.2915624999996</v>
      </c>
      <c r="P200" s="1">
        <f t="shared" si="79"/>
        <v>5580</v>
      </c>
    </row>
    <row r="201" spans="2:16" x14ac:dyDescent="0.25">
      <c r="B201" s="54" t="s">
        <v>2294</v>
      </c>
      <c r="C201" s="1" t="s">
        <v>2339</v>
      </c>
      <c r="D201" s="1" t="s">
        <v>2332</v>
      </c>
      <c r="E201" s="1">
        <v>4250</v>
      </c>
      <c r="F201" s="1">
        <v>0.05</v>
      </c>
      <c r="G201" s="1">
        <v>0.13</v>
      </c>
      <c r="H201" s="1">
        <f t="shared" si="73"/>
        <v>212.5</v>
      </c>
      <c r="I201" s="52">
        <f t="shared" si="74"/>
        <v>580.125</v>
      </c>
      <c r="J201" s="52">
        <f t="shared" si="75"/>
        <v>5042.625</v>
      </c>
      <c r="K201" s="53">
        <v>0.15</v>
      </c>
      <c r="L201" s="52">
        <f t="shared" si="76"/>
        <v>756.39374999999995</v>
      </c>
      <c r="M201" s="52">
        <f t="shared" si="77"/>
        <v>5799.0187500000002</v>
      </c>
      <c r="N201" s="53">
        <v>0.2</v>
      </c>
      <c r="O201" s="52">
        <f t="shared" si="78"/>
        <v>7248.7734375</v>
      </c>
      <c r="P201" s="1">
        <f t="shared" si="79"/>
        <v>7250</v>
      </c>
    </row>
    <row r="202" spans="2:16" x14ac:dyDescent="0.25">
      <c r="B202" s="50" t="s">
        <v>2325</v>
      </c>
      <c r="C202" s="51" t="s">
        <v>2340</v>
      </c>
      <c r="D202" s="51" t="s">
        <v>2332</v>
      </c>
      <c r="E202" s="1">
        <v>8130</v>
      </c>
      <c r="F202" s="1">
        <v>0.05</v>
      </c>
      <c r="G202" s="1">
        <v>0.13</v>
      </c>
      <c r="H202" s="1">
        <f t="shared" si="73"/>
        <v>406.5</v>
      </c>
      <c r="I202" s="52">
        <f t="shared" si="74"/>
        <v>1109.7450000000001</v>
      </c>
      <c r="J202" s="52">
        <f t="shared" si="75"/>
        <v>9646.2450000000008</v>
      </c>
      <c r="K202" s="53">
        <v>0.15</v>
      </c>
      <c r="L202" s="52">
        <f t="shared" si="76"/>
        <v>1446.9367500000001</v>
      </c>
      <c r="M202" s="52">
        <f t="shared" si="77"/>
        <v>11093.181750000002</v>
      </c>
      <c r="N202" s="53">
        <v>0.2</v>
      </c>
      <c r="O202" s="52">
        <f t="shared" si="78"/>
        <v>13866.477187500001</v>
      </c>
      <c r="P202" s="1">
        <f t="shared" si="79"/>
        <v>13870</v>
      </c>
    </row>
    <row r="203" spans="2:16" x14ac:dyDescent="0.25">
      <c r="B203" s="50" t="s">
        <v>2297</v>
      </c>
      <c r="C203" s="51" t="s">
        <v>2341</v>
      </c>
      <c r="D203" s="51" t="s">
        <v>2332</v>
      </c>
      <c r="E203" s="1">
        <v>8700</v>
      </c>
      <c r="F203" s="1">
        <v>0.05</v>
      </c>
      <c r="G203" s="1">
        <v>0.13</v>
      </c>
      <c r="H203" s="1">
        <f t="shared" si="73"/>
        <v>435</v>
      </c>
      <c r="I203" s="52">
        <f t="shared" si="74"/>
        <v>1187.55</v>
      </c>
      <c r="J203" s="52">
        <f t="shared" si="75"/>
        <v>10322.549999999999</v>
      </c>
      <c r="K203" s="53">
        <v>0.15</v>
      </c>
      <c r="L203" s="52">
        <f t="shared" si="76"/>
        <v>1548.3824999999999</v>
      </c>
      <c r="M203" s="52">
        <f t="shared" si="77"/>
        <v>11870.932499999999</v>
      </c>
      <c r="N203" s="53">
        <v>0.2</v>
      </c>
      <c r="O203" s="52">
        <f t="shared" si="78"/>
        <v>14838.665624999998</v>
      </c>
      <c r="P203" s="1">
        <f t="shared" si="79"/>
        <v>14840</v>
      </c>
    </row>
    <row r="204" spans="2:16" x14ac:dyDescent="0.25">
      <c r="B204" s="54" t="s">
        <v>2276</v>
      </c>
      <c r="C204" s="1" t="s">
        <v>2342</v>
      </c>
      <c r="D204" s="1" t="s">
        <v>2332</v>
      </c>
      <c r="E204" s="1">
        <v>2370</v>
      </c>
      <c r="F204" s="1">
        <v>0.05</v>
      </c>
      <c r="G204" s="1">
        <v>0.13</v>
      </c>
      <c r="H204" s="1">
        <f t="shared" si="73"/>
        <v>118.5</v>
      </c>
      <c r="I204" s="52">
        <f t="shared" si="74"/>
        <v>323.505</v>
      </c>
      <c r="J204" s="52">
        <f t="shared" si="75"/>
        <v>2812.0050000000001</v>
      </c>
      <c r="K204" s="53">
        <v>0.15</v>
      </c>
      <c r="L204" s="52">
        <f t="shared" si="76"/>
        <v>421.80074999999999</v>
      </c>
      <c r="M204" s="52">
        <f t="shared" si="77"/>
        <v>3233.80575</v>
      </c>
      <c r="N204" s="53">
        <v>0.2</v>
      </c>
      <c r="O204" s="52">
        <f t="shared" si="78"/>
        <v>4042.2571874999999</v>
      </c>
      <c r="P204" s="1">
        <f t="shared" si="79"/>
        <v>4040</v>
      </c>
    </row>
    <row r="205" spans="2:16" x14ac:dyDescent="0.25">
      <c r="B205" s="50" t="s">
        <v>2300</v>
      </c>
      <c r="C205" s="51" t="s">
        <v>2343</v>
      </c>
      <c r="D205" s="51" t="s">
        <v>2332</v>
      </c>
      <c r="E205" s="1">
        <v>3100</v>
      </c>
      <c r="F205" s="1">
        <v>0.05</v>
      </c>
      <c r="G205" s="1">
        <v>0.13</v>
      </c>
      <c r="H205" s="1">
        <f t="shared" si="73"/>
        <v>155</v>
      </c>
      <c r="I205" s="52">
        <f t="shared" si="74"/>
        <v>423.15000000000003</v>
      </c>
      <c r="J205" s="52">
        <f t="shared" si="75"/>
        <v>3678.15</v>
      </c>
      <c r="K205" s="53">
        <v>0.15</v>
      </c>
      <c r="L205" s="52">
        <f t="shared" si="76"/>
        <v>551.72249999999997</v>
      </c>
      <c r="M205" s="52">
        <f t="shared" si="77"/>
        <v>4229.8725000000004</v>
      </c>
      <c r="N205" s="53">
        <v>0.2</v>
      </c>
      <c r="O205" s="52">
        <f t="shared" si="78"/>
        <v>5287.3406249999998</v>
      </c>
      <c r="P205" s="1">
        <f t="shared" si="79"/>
        <v>5290</v>
      </c>
    </row>
    <row r="206" spans="2:16" x14ac:dyDescent="0.25">
      <c r="B206" s="50" t="s">
        <v>2302</v>
      </c>
      <c r="C206" s="51" t="s">
        <v>2344</v>
      </c>
      <c r="D206" s="51" t="s">
        <v>2332</v>
      </c>
      <c r="E206" s="1">
        <v>7550</v>
      </c>
      <c r="F206" s="1">
        <v>0.05</v>
      </c>
      <c r="G206" s="1">
        <v>0.13</v>
      </c>
      <c r="H206" s="1">
        <f t="shared" si="73"/>
        <v>377.5</v>
      </c>
      <c r="I206" s="52">
        <f t="shared" si="74"/>
        <v>1030.575</v>
      </c>
      <c r="J206" s="52">
        <f t="shared" si="75"/>
        <v>8958.0750000000007</v>
      </c>
      <c r="K206" s="53">
        <v>0.15</v>
      </c>
      <c r="L206" s="52">
        <f t="shared" si="76"/>
        <v>1343.7112500000001</v>
      </c>
      <c r="M206" s="52">
        <f t="shared" si="77"/>
        <v>10301.786250000001</v>
      </c>
      <c r="N206" s="53">
        <v>0.2</v>
      </c>
      <c r="O206" s="52">
        <f t="shared" si="78"/>
        <v>12877.2328125</v>
      </c>
      <c r="P206" s="1">
        <f t="shared" si="79"/>
        <v>12880</v>
      </c>
    </row>
    <row r="207" spans="2:16" x14ac:dyDescent="0.25">
      <c r="B207" s="50" t="s">
        <v>2304</v>
      </c>
      <c r="C207" s="51" t="s">
        <v>2345</v>
      </c>
      <c r="D207" s="51" t="s">
        <v>2332</v>
      </c>
      <c r="E207" s="1">
        <v>8990</v>
      </c>
      <c r="F207" s="1">
        <v>0.05</v>
      </c>
      <c r="G207" s="1">
        <v>0.13</v>
      </c>
      <c r="H207" s="1">
        <f t="shared" si="73"/>
        <v>449.5</v>
      </c>
      <c r="I207" s="52">
        <f t="shared" si="74"/>
        <v>1227.135</v>
      </c>
      <c r="J207" s="52">
        <f t="shared" si="75"/>
        <v>10666.635</v>
      </c>
      <c r="K207" s="53">
        <v>0.15</v>
      </c>
      <c r="L207" s="52">
        <f t="shared" si="76"/>
        <v>1599.9952499999999</v>
      </c>
      <c r="M207" s="52">
        <f t="shared" si="77"/>
        <v>12266.63025</v>
      </c>
      <c r="N207" s="53">
        <v>0.2</v>
      </c>
      <c r="O207" s="52">
        <f t="shared" si="78"/>
        <v>15333.287812499999</v>
      </c>
      <c r="P207" s="1">
        <f t="shared" si="79"/>
        <v>15330</v>
      </c>
    </row>
    <row r="208" spans="2:16" x14ac:dyDescent="0.25">
      <c r="B208" s="54" t="s">
        <v>2306</v>
      </c>
      <c r="C208" s="1" t="s">
        <v>2346</v>
      </c>
      <c r="D208" s="1" t="s">
        <v>2332</v>
      </c>
      <c r="E208" s="1">
        <v>10350</v>
      </c>
      <c r="F208" s="1">
        <v>0.05</v>
      </c>
      <c r="G208" s="1">
        <v>0.13</v>
      </c>
      <c r="H208" s="1">
        <f t="shared" si="73"/>
        <v>517.5</v>
      </c>
      <c r="I208" s="52">
        <f t="shared" si="74"/>
        <v>1412.7750000000001</v>
      </c>
      <c r="J208" s="52">
        <f t="shared" si="75"/>
        <v>12280.275</v>
      </c>
      <c r="K208" s="53">
        <v>0.15</v>
      </c>
      <c r="L208" s="52">
        <f t="shared" si="76"/>
        <v>1842.0412499999998</v>
      </c>
      <c r="M208" s="52">
        <f t="shared" si="77"/>
        <v>14122.31625</v>
      </c>
      <c r="N208" s="53">
        <v>0.2</v>
      </c>
      <c r="O208" s="52">
        <f t="shared" si="78"/>
        <v>17652.895312499997</v>
      </c>
      <c r="P208" s="1">
        <f t="shared" si="79"/>
        <v>17650</v>
      </c>
    </row>
    <row r="209" spans="2:16" x14ac:dyDescent="0.25">
      <c r="B209" s="130" t="s">
        <v>2347</v>
      </c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2"/>
    </row>
    <row r="210" spans="2:16" x14ac:dyDescent="0.25">
      <c r="B210" s="50" t="s">
        <v>2348</v>
      </c>
      <c r="C210" s="51" t="s">
        <v>2349</v>
      </c>
      <c r="D210" s="51" t="s">
        <v>2347</v>
      </c>
      <c r="E210" s="1">
        <v>1960</v>
      </c>
      <c r="F210" s="1">
        <v>0.05</v>
      </c>
      <c r="G210" s="1">
        <v>0.13</v>
      </c>
      <c r="H210" s="1">
        <f t="shared" ref="H210:H225" si="80">F210*E210</f>
        <v>98</v>
      </c>
      <c r="I210" s="52">
        <f t="shared" ref="I210:I225" si="81">G210*(E210+H210)</f>
        <v>267.54000000000002</v>
      </c>
      <c r="J210" s="52">
        <f t="shared" ref="J210:J225" si="82">E210+H210+I210</f>
        <v>2325.54</v>
      </c>
      <c r="K210" s="53">
        <v>0.15</v>
      </c>
      <c r="L210" s="52">
        <f t="shared" ref="L210:L225" si="83">J210*K210</f>
        <v>348.83099999999996</v>
      </c>
      <c r="M210" s="52">
        <f t="shared" ref="M210:M225" si="84">J210+L210</f>
        <v>2674.3710000000001</v>
      </c>
      <c r="N210" s="53">
        <v>0.2</v>
      </c>
      <c r="O210" s="52">
        <f t="shared" ref="O210:O225" si="85">$M210/(1-N210)</f>
        <v>3342.9637499999999</v>
      </c>
      <c r="P210" s="1">
        <f t="shared" ref="P210:P225" si="86">MROUND(O210,10)</f>
        <v>3340</v>
      </c>
    </row>
    <row r="211" spans="2:16" x14ac:dyDescent="0.25">
      <c r="B211" s="50" t="s">
        <v>2284</v>
      </c>
      <c r="C211" s="51" t="s">
        <v>2350</v>
      </c>
      <c r="D211" s="51" t="s">
        <v>2347</v>
      </c>
      <c r="E211" s="1">
        <v>3180</v>
      </c>
      <c r="F211" s="1">
        <v>0.05</v>
      </c>
      <c r="G211" s="1">
        <v>0.13</v>
      </c>
      <c r="H211" s="1">
        <f t="shared" si="80"/>
        <v>159</v>
      </c>
      <c r="I211" s="52">
        <f t="shared" si="81"/>
        <v>434.07</v>
      </c>
      <c r="J211" s="52">
        <f t="shared" si="82"/>
        <v>3773.07</v>
      </c>
      <c r="K211" s="53">
        <v>0.15</v>
      </c>
      <c r="L211" s="52">
        <f t="shared" si="83"/>
        <v>565.96050000000002</v>
      </c>
      <c r="M211" s="52">
        <f t="shared" si="84"/>
        <v>4339.0304999999998</v>
      </c>
      <c r="N211" s="53">
        <v>0.2</v>
      </c>
      <c r="O211" s="52">
        <f t="shared" si="85"/>
        <v>5423.7881249999991</v>
      </c>
      <c r="P211" s="1">
        <f t="shared" si="86"/>
        <v>5420</v>
      </c>
    </row>
    <row r="212" spans="2:16" x14ac:dyDescent="0.25">
      <c r="B212" s="50" t="s">
        <v>2351</v>
      </c>
      <c r="C212" s="51" t="s">
        <v>2352</v>
      </c>
      <c r="D212" s="51" t="s">
        <v>2347</v>
      </c>
      <c r="E212" s="1">
        <v>3930</v>
      </c>
      <c r="F212" s="1">
        <v>0.05</v>
      </c>
      <c r="G212" s="1">
        <v>0.13</v>
      </c>
      <c r="H212" s="1">
        <f t="shared" si="80"/>
        <v>196.5</v>
      </c>
      <c r="I212" s="52">
        <f t="shared" si="81"/>
        <v>536.44500000000005</v>
      </c>
      <c r="J212" s="52">
        <f t="shared" si="82"/>
        <v>4662.9449999999997</v>
      </c>
      <c r="K212" s="53">
        <v>0.15</v>
      </c>
      <c r="L212" s="52">
        <f t="shared" si="83"/>
        <v>699.44174999999996</v>
      </c>
      <c r="M212" s="52">
        <f t="shared" si="84"/>
        <v>5362.3867499999997</v>
      </c>
      <c r="N212" s="53">
        <v>0.2</v>
      </c>
      <c r="O212" s="52">
        <f t="shared" si="85"/>
        <v>6702.9834374999991</v>
      </c>
      <c r="P212" s="1">
        <f t="shared" si="86"/>
        <v>6700</v>
      </c>
    </row>
    <row r="213" spans="2:16" x14ac:dyDescent="0.25">
      <c r="B213" s="50" t="s">
        <v>2206</v>
      </c>
      <c r="C213" s="51" t="s">
        <v>2353</v>
      </c>
      <c r="D213" s="51" t="s">
        <v>2347</v>
      </c>
      <c r="E213" s="1">
        <v>6800</v>
      </c>
      <c r="F213" s="1">
        <v>0.05</v>
      </c>
      <c r="G213" s="1">
        <v>0.13</v>
      </c>
      <c r="H213" s="1">
        <f t="shared" si="80"/>
        <v>340</v>
      </c>
      <c r="I213" s="52">
        <f t="shared" si="81"/>
        <v>928.2</v>
      </c>
      <c r="J213" s="52">
        <f t="shared" si="82"/>
        <v>8068.2</v>
      </c>
      <c r="K213" s="53">
        <v>0.15</v>
      </c>
      <c r="L213" s="52">
        <f t="shared" si="83"/>
        <v>1210.23</v>
      </c>
      <c r="M213" s="52">
        <f t="shared" si="84"/>
        <v>9278.43</v>
      </c>
      <c r="N213" s="53">
        <v>0.2</v>
      </c>
      <c r="O213" s="52">
        <f t="shared" si="85"/>
        <v>11598.0375</v>
      </c>
      <c r="P213" s="1">
        <f t="shared" si="86"/>
        <v>11600</v>
      </c>
    </row>
    <row r="214" spans="2:16" x14ac:dyDescent="0.25">
      <c r="B214" s="54" t="s">
        <v>2266</v>
      </c>
      <c r="C214" s="1" t="s">
        <v>2354</v>
      </c>
      <c r="D214" s="1" t="s">
        <v>2347</v>
      </c>
      <c r="E214" s="1">
        <v>6160</v>
      </c>
      <c r="F214" s="1">
        <v>0.05</v>
      </c>
      <c r="G214" s="1">
        <v>0.13</v>
      </c>
      <c r="H214" s="1">
        <f t="shared" si="80"/>
        <v>308</v>
      </c>
      <c r="I214" s="52">
        <f t="shared" si="81"/>
        <v>840.84</v>
      </c>
      <c r="J214" s="52">
        <f t="shared" si="82"/>
        <v>7308.84</v>
      </c>
      <c r="K214" s="53">
        <v>0.15</v>
      </c>
      <c r="L214" s="52">
        <f t="shared" si="83"/>
        <v>1096.326</v>
      </c>
      <c r="M214" s="52">
        <f t="shared" si="84"/>
        <v>8405.1660000000011</v>
      </c>
      <c r="N214" s="53">
        <v>0.2</v>
      </c>
      <c r="O214" s="52">
        <f t="shared" si="85"/>
        <v>10506.4575</v>
      </c>
      <c r="P214" s="1">
        <f t="shared" si="86"/>
        <v>10510</v>
      </c>
    </row>
    <row r="215" spans="2:16" x14ac:dyDescent="0.25">
      <c r="B215" s="50" t="s">
        <v>2268</v>
      </c>
      <c r="C215" s="51" t="s">
        <v>2355</v>
      </c>
      <c r="D215" s="51" t="s">
        <v>2347</v>
      </c>
      <c r="E215" s="1">
        <v>2570</v>
      </c>
      <c r="F215" s="1">
        <v>0.05</v>
      </c>
      <c r="G215" s="1">
        <v>0.13</v>
      </c>
      <c r="H215" s="1">
        <f t="shared" si="80"/>
        <v>128.5</v>
      </c>
      <c r="I215" s="52">
        <f t="shared" si="81"/>
        <v>350.80500000000001</v>
      </c>
      <c r="J215" s="52">
        <f t="shared" si="82"/>
        <v>3049.3049999999998</v>
      </c>
      <c r="K215" s="53">
        <v>0.15</v>
      </c>
      <c r="L215" s="52">
        <f t="shared" si="83"/>
        <v>457.39574999999996</v>
      </c>
      <c r="M215" s="52">
        <f t="shared" si="84"/>
        <v>3506.70075</v>
      </c>
      <c r="N215" s="53">
        <v>0.2</v>
      </c>
      <c r="O215" s="52">
        <f t="shared" si="85"/>
        <v>4383.3759375</v>
      </c>
      <c r="P215" s="1">
        <f t="shared" si="86"/>
        <v>4380</v>
      </c>
    </row>
    <row r="216" spans="2:16" x14ac:dyDescent="0.25">
      <c r="B216" s="54" t="s">
        <v>2294</v>
      </c>
      <c r="C216" s="1" t="s">
        <v>2356</v>
      </c>
      <c r="D216" s="1" t="s">
        <v>2347</v>
      </c>
      <c r="E216" s="1">
        <v>4060</v>
      </c>
      <c r="F216" s="1">
        <v>0.05</v>
      </c>
      <c r="G216" s="1">
        <v>0.13</v>
      </c>
      <c r="H216" s="1">
        <f t="shared" si="80"/>
        <v>203</v>
      </c>
      <c r="I216" s="52">
        <f t="shared" si="81"/>
        <v>554.19000000000005</v>
      </c>
      <c r="J216" s="52">
        <f t="shared" si="82"/>
        <v>4817.1900000000005</v>
      </c>
      <c r="K216" s="53">
        <v>0.15</v>
      </c>
      <c r="L216" s="52">
        <f t="shared" si="83"/>
        <v>722.57850000000008</v>
      </c>
      <c r="M216" s="52">
        <f t="shared" si="84"/>
        <v>5539.7685000000001</v>
      </c>
      <c r="N216" s="53">
        <v>0.2</v>
      </c>
      <c r="O216" s="52">
        <f t="shared" si="85"/>
        <v>6924.7106249999997</v>
      </c>
      <c r="P216" s="1">
        <f t="shared" si="86"/>
        <v>6920</v>
      </c>
    </row>
    <row r="217" spans="2:16" x14ac:dyDescent="0.25">
      <c r="B217" s="50" t="s">
        <v>2357</v>
      </c>
      <c r="C217" s="51" t="s">
        <v>2358</v>
      </c>
      <c r="D217" s="51" t="s">
        <v>2347</v>
      </c>
      <c r="E217" s="1">
        <v>4140</v>
      </c>
      <c r="F217" s="1">
        <v>0.05</v>
      </c>
      <c r="G217" s="1">
        <v>0.13</v>
      </c>
      <c r="H217" s="1">
        <f t="shared" si="80"/>
        <v>207</v>
      </c>
      <c r="I217" s="52">
        <f t="shared" si="81"/>
        <v>565.11</v>
      </c>
      <c r="J217" s="52">
        <f t="shared" si="82"/>
        <v>4912.1099999999997</v>
      </c>
      <c r="K217" s="53">
        <v>0.15</v>
      </c>
      <c r="L217" s="52">
        <f t="shared" si="83"/>
        <v>736.81649999999991</v>
      </c>
      <c r="M217" s="52">
        <f t="shared" si="84"/>
        <v>5648.9264999999996</v>
      </c>
      <c r="N217" s="53">
        <v>0.2</v>
      </c>
      <c r="O217" s="52">
        <f t="shared" si="85"/>
        <v>7061.158124999999</v>
      </c>
      <c r="P217" s="1">
        <f t="shared" si="86"/>
        <v>7060</v>
      </c>
    </row>
    <row r="218" spans="2:16" x14ac:dyDescent="0.25">
      <c r="B218" s="50" t="s">
        <v>2359</v>
      </c>
      <c r="C218" s="51" t="s">
        <v>2360</v>
      </c>
      <c r="D218" s="51" t="s">
        <v>2347</v>
      </c>
      <c r="E218" s="1">
        <v>7070</v>
      </c>
      <c r="F218" s="1">
        <v>0.05</v>
      </c>
      <c r="G218" s="1">
        <v>0.13</v>
      </c>
      <c r="H218" s="1">
        <f t="shared" si="80"/>
        <v>353.5</v>
      </c>
      <c r="I218" s="52">
        <f t="shared" si="81"/>
        <v>965.05500000000006</v>
      </c>
      <c r="J218" s="52">
        <f t="shared" si="82"/>
        <v>8388.5550000000003</v>
      </c>
      <c r="K218" s="53">
        <v>0.15</v>
      </c>
      <c r="L218" s="52">
        <f t="shared" si="83"/>
        <v>1258.28325</v>
      </c>
      <c r="M218" s="52">
        <f t="shared" si="84"/>
        <v>9646.8382500000007</v>
      </c>
      <c r="N218" s="53">
        <v>0.2</v>
      </c>
      <c r="O218" s="52">
        <f t="shared" si="85"/>
        <v>12058.547812500001</v>
      </c>
      <c r="P218" s="1">
        <f t="shared" si="86"/>
        <v>12060</v>
      </c>
    </row>
    <row r="219" spans="2:16" x14ac:dyDescent="0.25">
      <c r="B219" s="50" t="s">
        <v>2276</v>
      </c>
      <c r="C219" s="51" t="s">
        <v>2361</v>
      </c>
      <c r="D219" s="51" t="s">
        <v>2347</v>
      </c>
      <c r="E219" s="1">
        <v>2050</v>
      </c>
      <c r="F219" s="1">
        <v>0.05</v>
      </c>
      <c r="G219" s="1">
        <v>0.13</v>
      </c>
      <c r="H219" s="1">
        <f t="shared" si="80"/>
        <v>102.5</v>
      </c>
      <c r="I219" s="52">
        <f t="shared" si="81"/>
        <v>279.82499999999999</v>
      </c>
      <c r="J219" s="52">
        <f t="shared" si="82"/>
        <v>2432.3249999999998</v>
      </c>
      <c r="K219" s="53">
        <v>0.15</v>
      </c>
      <c r="L219" s="52">
        <f t="shared" si="83"/>
        <v>364.84874999999994</v>
      </c>
      <c r="M219" s="52">
        <f t="shared" si="84"/>
        <v>2797.1737499999999</v>
      </c>
      <c r="N219" s="53">
        <v>0.2</v>
      </c>
      <c r="O219" s="52">
        <f t="shared" si="85"/>
        <v>3496.4671874999999</v>
      </c>
      <c r="P219" s="1">
        <f t="shared" si="86"/>
        <v>3500</v>
      </c>
    </row>
    <row r="220" spans="2:16" x14ac:dyDescent="0.25">
      <c r="B220" s="50" t="s">
        <v>2278</v>
      </c>
      <c r="C220" s="51" t="s">
        <v>2362</v>
      </c>
      <c r="D220" s="51" t="s">
        <v>2347</v>
      </c>
      <c r="E220" s="1">
        <v>2730</v>
      </c>
      <c r="F220" s="1">
        <v>0.05</v>
      </c>
      <c r="G220" s="1">
        <v>0.13</v>
      </c>
      <c r="H220" s="1">
        <f t="shared" si="80"/>
        <v>136.5</v>
      </c>
      <c r="I220" s="52">
        <f t="shared" si="81"/>
        <v>372.64500000000004</v>
      </c>
      <c r="J220" s="52">
        <f t="shared" si="82"/>
        <v>3239.145</v>
      </c>
      <c r="K220" s="53">
        <v>0.15</v>
      </c>
      <c r="L220" s="52">
        <f t="shared" si="83"/>
        <v>485.87174999999996</v>
      </c>
      <c r="M220" s="52">
        <f t="shared" si="84"/>
        <v>3725.0167499999998</v>
      </c>
      <c r="N220" s="53">
        <v>0.2</v>
      </c>
      <c r="O220" s="52">
        <f t="shared" si="85"/>
        <v>4656.2709374999995</v>
      </c>
      <c r="P220" s="1">
        <f t="shared" si="86"/>
        <v>4660</v>
      </c>
    </row>
    <row r="221" spans="2:16" x14ac:dyDescent="0.25">
      <c r="B221" s="50" t="s">
        <v>2300</v>
      </c>
      <c r="C221" s="51" t="s">
        <v>2363</v>
      </c>
      <c r="D221" s="51" t="s">
        <v>2347</v>
      </c>
      <c r="E221" s="1">
        <v>2860</v>
      </c>
      <c r="F221" s="1">
        <v>0.05</v>
      </c>
      <c r="G221" s="1">
        <v>0.13</v>
      </c>
      <c r="H221" s="1">
        <f t="shared" si="80"/>
        <v>143</v>
      </c>
      <c r="I221" s="52">
        <f t="shared" si="81"/>
        <v>390.39</v>
      </c>
      <c r="J221" s="52">
        <f t="shared" si="82"/>
        <v>3393.39</v>
      </c>
      <c r="K221" s="53">
        <v>0.15</v>
      </c>
      <c r="L221" s="52">
        <f t="shared" si="83"/>
        <v>509.00849999999997</v>
      </c>
      <c r="M221" s="52">
        <f t="shared" si="84"/>
        <v>3902.3984999999998</v>
      </c>
      <c r="N221" s="53">
        <v>0.2</v>
      </c>
      <c r="O221" s="52">
        <f t="shared" si="85"/>
        <v>4877.9981249999992</v>
      </c>
      <c r="P221" s="1">
        <f t="shared" si="86"/>
        <v>4880</v>
      </c>
    </row>
    <row r="222" spans="2:16" x14ac:dyDescent="0.25">
      <c r="B222" s="54" t="s">
        <v>2364</v>
      </c>
      <c r="C222" s="1" t="s">
        <v>2365</v>
      </c>
      <c r="D222" s="1" t="s">
        <v>2347</v>
      </c>
      <c r="E222" s="1">
        <v>4090</v>
      </c>
      <c r="F222" s="1">
        <v>0.05</v>
      </c>
      <c r="G222" s="1">
        <v>0.13</v>
      </c>
      <c r="H222" s="1">
        <f t="shared" si="80"/>
        <v>204.5</v>
      </c>
      <c r="I222" s="52">
        <f t="shared" si="81"/>
        <v>558.28499999999997</v>
      </c>
      <c r="J222" s="52">
        <f t="shared" si="82"/>
        <v>4852.7849999999999</v>
      </c>
      <c r="K222" s="53">
        <v>0.15</v>
      </c>
      <c r="L222" s="52">
        <f t="shared" si="83"/>
        <v>727.91774999999996</v>
      </c>
      <c r="M222" s="52">
        <f t="shared" si="84"/>
        <v>5580.7027499999995</v>
      </c>
      <c r="N222" s="53">
        <v>0.2</v>
      </c>
      <c r="O222" s="52">
        <f t="shared" si="85"/>
        <v>6975.8784374999987</v>
      </c>
      <c r="P222" s="1">
        <f t="shared" si="86"/>
        <v>6980</v>
      </c>
    </row>
    <row r="223" spans="2:16" x14ac:dyDescent="0.25">
      <c r="B223" s="50" t="s">
        <v>2366</v>
      </c>
      <c r="C223" s="51" t="s">
        <v>2367</v>
      </c>
      <c r="D223" s="51" t="s">
        <v>2347</v>
      </c>
      <c r="E223" s="1">
        <v>9040</v>
      </c>
      <c r="F223" s="1">
        <v>0.05</v>
      </c>
      <c r="G223" s="1">
        <v>0.13</v>
      </c>
      <c r="H223" s="1">
        <f t="shared" si="80"/>
        <v>452</v>
      </c>
      <c r="I223" s="52">
        <f t="shared" si="81"/>
        <v>1233.96</v>
      </c>
      <c r="J223" s="52">
        <f t="shared" si="82"/>
        <v>10725.96</v>
      </c>
      <c r="K223" s="53">
        <v>0.15</v>
      </c>
      <c r="L223" s="52">
        <f t="shared" si="83"/>
        <v>1608.8939999999998</v>
      </c>
      <c r="M223" s="52">
        <f t="shared" si="84"/>
        <v>12334.853999999999</v>
      </c>
      <c r="N223" s="53">
        <v>0.2</v>
      </c>
      <c r="O223" s="52">
        <f t="shared" si="85"/>
        <v>15418.567499999999</v>
      </c>
      <c r="P223" s="1">
        <f t="shared" si="86"/>
        <v>15420</v>
      </c>
    </row>
    <row r="224" spans="2:16" x14ac:dyDescent="0.25">
      <c r="B224" s="50" t="s">
        <v>2306</v>
      </c>
      <c r="C224" s="51" t="s">
        <v>2368</v>
      </c>
      <c r="D224" s="51" t="s">
        <v>2347</v>
      </c>
      <c r="E224" s="1">
        <v>10120</v>
      </c>
      <c r="F224" s="1">
        <v>0.05</v>
      </c>
      <c r="G224" s="1">
        <v>0.13</v>
      </c>
      <c r="H224" s="1">
        <f t="shared" si="80"/>
        <v>506</v>
      </c>
      <c r="I224" s="52">
        <f t="shared" si="81"/>
        <v>1381.38</v>
      </c>
      <c r="J224" s="52">
        <f t="shared" si="82"/>
        <v>12007.380000000001</v>
      </c>
      <c r="K224" s="53">
        <v>0.15</v>
      </c>
      <c r="L224" s="52">
        <f t="shared" si="83"/>
        <v>1801.1070000000002</v>
      </c>
      <c r="M224" s="52">
        <f t="shared" si="84"/>
        <v>13808.487000000001</v>
      </c>
      <c r="N224" s="53">
        <v>0.2</v>
      </c>
      <c r="O224" s="52">
        <f t="shared" si="85"/>
        <v>17260.608749999999</v>
      </c>
      <c r="P224" s="1">
        <f t="shared" si="86"/>
        <v>17260</v>
      </c>
    </row>
    <row r="225" spans="2:16" x14ac:dyDescent="0.25">
      <c r="B225" s="54" t="s">
        <v>2369</v>
      </c>
      <c r="C225" s="1" t="s">
        <v>2370</v>
      </c>
      <c r="D225" s="51" t="s">
        <v>2347</v>
      </c>
      <c r="E225" s="1">
        <v>2500</v>
      </c>
      <c r="F225" s="1">
        <v>0.05</v>
      </c>
      <c r="G225" s="1">
        <v>0.13</v>
      </c>
      <c r="H225" s="1">
        <f t="shared" si="80"/>
        <v>125</v>
      </c>
      <c r="I225" s="52">
        <f t="shared" si="81"/>
        <v>341.25</v>
      </c>
      <c r="J225" s="52">
        <f t="shared" si="82"/>
        <v>2966.25</v>
      </c>
      <c r="K225" s="53">
        <v>0.15</v>
      </c>
      <c r="L225" s="52">
        <f t="shared" si="83"/>
        <v>444.9375</v>
      </c>
      <c r="M225" s="52">
        <f t="shared" si="84"/>
        <v>3411.1875</v>
      </c>
      <c r="N225" s="53">
        <v>0.2</v>
      </c>
      <c r="O225" s="52">
        <f t="shared" si="85"/>
        <v>4263.984375</v>
      </c>
      <c r="P225" s="1">
        <f t="shared" si="86"/>
        <v>4260</v>
      </c>
    </row>
    <row r="226" spans="2:16" x14ac:dyDescent="0.25">
      <c r="B226" s="129" t="s">
        <v>1853</v>
      </c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</row>
    <row r="227" spans="2:16" x14ac:dyDescent="0.25">
      <c r="B227" s="50" t="s">
        <v>2257</v>
      </c>
      <c r="C227" s="51" t="s">
        <v>2371</v>
      </c>
      <c r="D227" s="51" t="s">
        <v>1853</v>
      </c>
      <c r="E227" s="1">
        <v>1910</v>
      </c>
      <c r="F227" s="1">
        <v>0.05</v>
      </c>
      <c r="G227" s="1">
        <v>0.13</v>
      </c>
      <c r="H227" s="1">
        <f t="shared" ref="H227:H242" si="87">F227*E227</f>
        <v>95.5</v>
      </c>
      <c r="I227" s="52">
        <f t="shared" ref="I227:I242" si="88">G227*(E227+H227)</f>
        <v>260.71500000000003</v>
      </c>
      <c r="J227" s="52">
        <f t="shared" ref="J227:J242" si="89">E227+H227+I227</f>
        <v>2266.2150000000001</v>
      </c>
      <c r="K227" s="53">
        <v>0.15</v>
      </c>
      <c r="L227" s="52">
        <f t="shared" ref="L227:L242" si="90">J227*K227</f>
        <v>339.93225000000001</v>
      </c>
      <c r="M227" s="52">
        <f t="shared" ref="M227:M242" si="91">J227+L227</f>
        <v>2606.14725</v>
      </c>
      <c r="N227" s="53">
        <v>0.2</v>
      </c>
      <c r="O227" s="52">
        <f t="shared" ref="O227:O242" si="92">$M227/(1-N227)</f>
        <v>3257.6840625</v>
      </c>
      <c r="P227" s="1">
        <f t="shared" ref="P227:P242" si="93">MROUND(O227,10)</f>
        <v>3260</v>
      </c>
    </row>
    <row r="228" spans="2:16" x14ac:dyDescent="0.25">
      <c r="B228" s="54" t="s">
        <v>2372</v>
      </c>
      <c r="C228" s="1" t="s">
        <v>2373</v>
      </c>
      <c r="D228" s="1" t="s">
        <v>1853</v>
      </c>
      <c r="E228" s="1">
        <v>3080</v>
      </c>
      <c r="F228" s="1">
        <v>0.05</v>
      </c>
      <c r="G228" s="1">
        <v>0.13</v>
      </c>
      <c r="H228" s="1">
        <f t="shared" si="87"/>
        <v>154</v>
      </c>
      <c r="I228" s="52">
        <f t="shared" si="88"/>
        <v>420.42</v>
      </c>
      <c r="J228" s="52">
        <f t="shared" si="89"/>
        <v>3654.42</v>
      </c>
      <c r="K228" s="53">
        <v>0.15</v>
      </c>
      <c r="L228" s="52">
        <f t="shared" si="90"/>
        <v>548.16300000000001</v>
      </c>
      <c r="M228" s="52">
        <f t="shared" si="91"/>
        <v>4202.5830000000005</v>
      </c>
      <c r="N228" s="53">
        <v>0.2</v>
      </c>
      <c r="O228" s="52">
        <f t="shared" si="92"/>
        <v>5253.2287500000002</v>
      </c>
      <c r="P228" s="1">
        <f t="shared" si="93"/>
        <v>5250</v>
      </c>
    </row>
    <row r="229" spans="2:16" x14ac:dyDescent="0.25">
      <c r="B229" s="54" t="s">
        <v>2374</v>
      </c>
      <c r="C229" s="1" t="s">
        <v>2375</v>
      </c>
      <c r="D229" s="1" t="s">
        <v>1853</v>
      </c>
      <c r="E229" s="1">
        <v>3650</v>
      </c>
      <c r="F229" s="1">
        <v>0.05</v>
      </c>
      <c r="G229" s="1">
        <v>0.13</v>
      </c>
      <c r="H229" s="1">
        <f t="shared" si="87"/>
        <v>182.5</v>
      </c>
      <c r="I229" s="52">
        <f t="shared" si="88"/>
        <v>498.22500000000002</v>
      </c>
      <c r="J229" s="52">
        <f t="shared" si="89"/>
        <v>4330.7250000000004</v>
      </c>
      <c r="K229" s="53">
        <v>0.15</v>
      </c>
      <c r="L229" s="52">
        <f t="shared" si="90"/>
        <v>649.60874999999999</v>
      </c>
      <c r="M229" s="52">
        <f t="shared" si="91"/>
        <v>4980.3337500000007</v>
      </c>
      <c r="N229" s="53">
        <v>0.2</v>
      </c>
      <c r="O229" s="52">
        <f t="shared" si="92"/>
        <v>6225.4171875000002</v>
      </c>
      <c r="P229" s="1">
        <f t="shared" si="93"/>
        <v>6230</v>
      </c>
    </row>
    <row r="230" spans="2:16" x14ac:dyDescent="0.25">
      <c r="B230" s="50" t="s">
        <v>2376</v>
      </c>
      <c r="C230" s="51" t="s">
        <v>2377</v>
      </c>
      <c r="D230" s="51" t="s">
        <v>1853</v>
      </c>
      <c r="E230" s="1">
        <v>6770</v>
      </c>
      <c r="F230" s="1">
        <v>0.05</v>
      </c>
      <c r="G230" s="1">
        <v>0.13</v>
      </c>
      <c r="H230" s="1">
        <f t="shared" si="87"/>
        <v>338.5</v>
      </c>
      <c r="I230" s="52">
        <f t="shared" si="88"/>
        <v>924.10500000000002</v>
      </c>
      <c r="J230" s="52">
        <f t="shared" si="89"/>
        <v>8032.6049999999996</v>
      </c>
      <c r="K230" s="53">
        <v>0.15</v>
      </c>
      <c r="L230" s="52">
        <f t="shared" si="90"/>
        <v>1204.8907499999998</v>
      </c>
      <c r="M230" s="52">
        <f t="shared" si="91"/>
        <v>9237.49575</v>
      </c>
      <c r="N230" s="53">
        <v>0.2</v>
      </c>
      <c r="O230" s="52">
        <f t="shared" si="92"/>
        <v>11546.869687499999</v>
      </c>
      <c r="P230" s="1">
        <f t="shared" si="93"/>
        <v>11550</v>
      </c>
    </row>
    <row r="231" spans="2:16" x14ac:dyDescent="0.25">
      <c r="B231" s="50" t="s">
        <v>2378</v>
      </c>
      <c r="C231" s="51" t="s">
        <v>2379</v>
      </c>
      <c r="D231" s="51" t="s">
        <v>1853</v>
      </c>
      <c r="E231" s="1">
        <v>9890</v>
      </c>
      <c r="F231" s="1">
        <v>0.05</v>
      </c>
      <c r="G231" s="1">
        <v>0.13</v>
      </c>
      <c r="H231" s="1">
        <f t="shared" si="87"/>
        <v>494.5</v>
      </c>
      <c r="I231" s="52">
        <f t="shared" si="88"/>
        <v>1349.9850000000001</v>
      </c>
      <c r="J231" s="52">
        <f t="shared" si="89"/>
        <v>11734.485000000001</v>
      </c>
      <c r="K231" s="53">
        <v>0.15</v>
      </c>
      <c r="L231" s="52">
        <f t="shared" si="90"/>
        <v>1760.17275</v>
      </c>
      <c r="M231" s="52">
        <f t="shared" si="91"/>
        <v>13494.65775</v>
      </c>
      <c r="N231" s="53">
        <v>0.2</v>
      </c>
      <c r="O231" s="52">
        <f t="shared" si="92"/>
        <v>16868.322187499998</v>
      </c>
      <c r="P231" s="1">
        <f t="shared" si="93"/>
        <v>16870</v>
      </c>
    </row>
    <row r="232" spans="2:16" x14ac:dyDescent="0.25">
      <c r="B232" s="50" t="s">
        <v>2380</v>
      </c>
      <c r="C232" s="51" t="s">
        <v>2381</v>
      </c>
      <c r="D232" s="51" t="s">
        <v>1853</v>
      </c>
      <c r="E232" s="1">
        <v>5300</v>
      </c>
      <c r="F232" s="1">
        <v>0.05</v>
      </c>
      <c r="G232" s="1">
        <v>0.13</v>
      </c>
      <c r="H232" s="1">
        <f t="shared" si="87"/>
        <v>265</v>
      </c>
      <c r="I232" s="52">
        <f t="shared" si="88"/>
        <v>723.45</v>
      </c>
      <c r="J232" s="52">
        <f t="shared" si="89"/>
        <v>6288.45</v>
      </c>
      <c r="K232" s="53">
        <v>0.15</v>
      </c>
      <c r="L232" s="52">
        <f t="shared" si="90"/>
        <v>943.26749999999993</v>
      </c>
      <c r="M232" s="52">
        <f t="shared" si="91"/>
        <v>7231.7174999999997</v>
      </c>
      <c r="N232" s="53">
        <v>0.2</v>
      </c>
      <c r="O232" s="52">
        <f t="shared" si="92"/>
        <v>9039.6468749999985</v>
      </c>
      <c r="P232" s="1">
        <f t="shared" si="93"/>
        <v>9040</v>
      </c>
    </row>
    <row r="233" spans="2:16" x14ac:dyDescent="0.25">
      <c r="B233" s="50" t="s">
        <v>2382</v>
      </c>
      <c r="C233" s="51" t="s">
        <v>2383</v>
      </c>
      <c r="D233" s="51" t="s">
        <v>1853</v>
      </c>
      <c r="E233" s="1">
        <v>2610</v>
      </c>
      <c r="F233" s="1">
        <v>0.05</v>
      </c>
      <c r="G233" s="1">
        <v>0.13</v>
      </c>
      <c r="H233" s="1">
        <f t="shared" si="87"/>
        <v>130.5</v>
      </c>
      <c r="I233" s="52">
        <f t="shared" si="88"/>
        <v>356.26499999999999</v>
      </c>
      <c r="J233" s="52">
        <f t="shared" si="89"/>
        <v>3096.7649999999999</v>
      </c>
      <c r="K233" s="53">
        <v>0.15</v>
      </c>
      <c r="L233" s="52">
        <f t="shared" si="90"/>
        <v>464.51474999999994</v>
      </c>
      <c r="M233" s="52">
        <f t="shared" si="91"/>
        <v>3561.2797499999997</v>
      </c>
      <c r="N233" s="53">
        <v>0.2</v>
      </c>
      <c r="O233" s="52">
        <f t="shared" si="92"/>
        <v>4451.5996874999992</v>
      </c>
      <c r="P233" s="1">
        <f t="shared" si="93"/>
        <v>4450</v>
      </c>
    </row>
    <row r="234" spans="2:16" x14ac:dyDescent="0.25">
      <c r="B234" s="54" t="s">
        <v>2384</v>
      </c>
      <c r="C234" s="1" t="s">
        <v>2385</v>
      </c>
      <c r="D234" s="1" t="s">
        <v>1853</v>
      </c>
      <c r="E234" s="1">
        <v>3240</v>
      </c>
      <c r="F234" s="1">
        <v>0.05</v>
      </c>
      <c r="G234" s="1">
        <v>0.13</v>
      </c>
      <c r="H234" s="1">
        <f t="shared" si="87"/>
        <v>162</v>
      </c>
      <c r="I234" s="52">
        <f t="shared" si="88"/>
        <v>442.26</v>
      </c>
      <c r="J234" s="52">
        <f t="shared" si="89"/>
        <v>3844.26</v>
      </c>
      <c r="K234" s="53">
        <v>0.15</v>
      </c>
      <c r="L234" s="52">
        <f t="shared" si="90"/>
        <v>576.63900000000001</v>
      </c>
      <c r="M234" s="52">
        <f t="shared" si="91"/>
        <v>4420.8990000000003</v>
      </c>
      <c r="N234" s="53">
        <v>0.2</v>
      </c>
      <c r="O234" s="52">
        <f t="shared" si="92"/>
        <v>5526.1237499999997</v>
      </c>
      <c r="P234" s="1">
        <f t="shared" si="93"/>
        <v>5530</v>
      </c>
    </row>
    <row r="235" spans="2:16" x14ac:dyDescent="0.25">
      <c r="B235" s="54" t="s">
        <v>2294</v>
      </c>
      <c r="C235" s="1" t="s">
        <v>2386</v>
      </c>
      <c r="D235" s="1" t="s">
        <v>1853</v>
      </c>
      <c r="E235" s="1">
        <v>3540</v>
      </c>
      <c r="F235" s="1">
        <v>0.05</v>
      </c>
      <c r="G235" s="1">
        <v>0.13</v>
      </c>
      <c r="H235" s="1">
        <f t="shared" si="87"/>
        <v>177</v>
      </c>
      <c r="I235" s="52">
        <f t="shared" si="88"/>
        <v>483.21000000000004</v>
      </c>
      <c r="J235" s="52">
        <f t="shared" si="89"/>
        <v>4200.21</v>
      </c>
      <c r="K235" s="53">
        <v>0.15</v>
      </c>
      <c r="L235" s="52">
        <f t="shared" si="90"/>
        <v>630.03149999999994</v>
      </c>
      <c r="M235" s="52">
        <f t="shared" si="91"/>
        <v>4830.2415000000001</v>
      </c>
      <c r="N235" s="53">
        <v>0.2</v>
      </c>
      <c r="O235" s="52">
        <f t="shared" si="92"/>
        <v>6037.8018750000001</v>
      </c>
      <c r="P235" s="1">
        <f t="shared" si="93"/>
        <v>6040</v>
      </c>
    </row>
    <row r="236" spans="2:16" x14ac:dyDescent="0.25">
      <c r="B236" s="50" t="s">
        <v>2387</v>
      </c>
      <c r="C236" s="51" t="s">
        <v>2388</v>
      </c>
      <c r="D236" s="51" t="s">
        <v>1853</v>
      </c>
      <c r="E236" s="1">
        <v>7240</v>
      </c>
      <c r="F236" s="1">
        <v>0.05</v>
      </c>
      <c r="G236" s="1">
        <v>0.13</v>
      </c>
      <c r="H236" s="1">
        <f t="shared" si="87"/>
        <v>362</v>
      </c>
      <c r="I236" s="52">
        <f t="shared" si="88"/>
        <v>988.26</v>
      </c>
      <c r="J236" s="52">
        <f t="shared" si="89"/>
        <v>8590.26</v>
      </c>
      <c r="K236" s="53">
        <v>0.15</v>
      </c>
      <c r="L236" s="52">
        <f t="shared" si="90"/>
        <v>1288.539</v>
      </c>
      <c r="M236" s="52">
        <f t="shared" si="91"/>
        <v>9878.7990000000009</v>
      </c>
      <c r="N236" s="53">
        <v>0.2</v>
      </c>
      <c r="O236" s="52">
        <f t="shared" si="92"/>
        <v>12348.498750000001</v>
      </c>
      <c r="P236" s="1">
        <f t="shared" si="93"/>
        <v>12350</v>
      </c>
    </row>
    <row r="237" spans="2:16" x14ac:dyDescent="0.25">
      <c r="B237" s="50" t="s">
        <v>2389</v>
      </c>
      <c r="C237" s="51" t="s">
        <v>2390</v>
      </c>
      <c r="D237" s="51" t="s">
        <v>1853</v>
      </c>
      <c r="E237" s="1">
        <v>7680</v>
      </c>
      <c r="F237" s="1">
        <v>0.05</v>
      </c>
      <c r="G237" s="1">
        <v>0.13</v>
      </c>
      <c r="H237" s="1">
        <f t="shared" si="87"/>
        <v>384</v>
      </c>
      <c r="I237" s="52">
        <f t="shared" si="88"/>
        <v>1048.32</v>
      </c>
      <c r="J237" s="52">
        <f t="shared" si="89"/>
        <v>9112.32</v>
      </c>
      <c r="K237" s="53">
        <v>0.15</v>
      </c>
      <c r="L237" s="52">
        <f t="shared" si="90"/>
        <v>1366.848</v>
      </c>
      <c r="M237" s="52">
        <f t="shared" si="91"/>
        <v>10479.168</v>
      </c>
      <c r="N237" s="53">
        <v>0.2</v>
      </c>
      <c r="O237" s="52">
        <f t="shared" si="92"/>
        <v>13098.96</v>
      </c>
      <c r="P237" s="1">
        <f t="shared" si="93"/>
        <v>13100</v>
      </c>
    </row>
    <row r="238" spans="2:16" x14ac:dyDescent="0.25">
      <c r="B238" s="50" t="s">
        <v>2391</v>
      </c>
      <c r="C238" s="51" t="s">
        <v>2392</v>
      </c>
      <c r="D238" s="51" t="s">
        <v>1853</v>
      </c>
      <c r="E238" s="1">
        <v>2420</v>
      </c>
      <c r="F238" s="1">
        <v>0.05</v>
      </c>
      <c r="G238" s="1">
        <v>0.13</v>
      </c>
      <c r="H238" s="1">
        <f t="shared" si="87"/>
        <v>121</v>
      </c>
      <c r="I238" s="52">
        <f t="shared" si="88"/>
        <v>330.33</v>
      </c>
      <c r="J238" s="52">
        <f t="shared" si="89"/>
        <v>2871.33</v>
      </c>
      <c r="K238" s="53">
        <v>0.15</v>
      </c>
      <c r="L238" s="52">
        <f t="shared" si="90"/>
        <v>430.6995</v>
      </c>
      <c r="M238" s="52">
        <f t="shared" si="91"/>
        <v>3302.0295000000001</v>
      </c>
      <c r="N238" s="53">
        <v>0.2</v>
      </c>
      <c r="O238" s="52">
        <f t="shared" si="92"/>
        <v>4127.5368749999998</v>
      </c>
      <c r="P238" s="1">
        <f t="shared" si="93"/>
        <v>4130</v>
      </c>
    </row>
    <row r="239" spans="2:16" x14ac:dyDescent="0.25">
      <c r="B239" s="54" t="s">
        <v>2393</v>
      </c>
      <c r="C239" s="1" t="s">
        <v>2394</v>
      </c>
      <c r="D239" s="1" t="s">
        <v>1853</v>
      </c>
      <c r="E239" s="1">
        <v>4000</v>
      </c>
      <c r="F239" s="1">
        <v>0.05</v>
      </c>
      <c r="G239" s="1">
        <v>0.13</v>
      </c>
      <c r="H239" s="1">
        <f t="shared" si="87"/>
        <v>200</v>
      </c>
      <c r="I239" s="52">
        <f t="shared" si="88"/>
        <v>546</v>
      </c>
      <c r="J239" s="52">
        <f t="shared" si="89"/>
        <v>4746</v>
      </c>
      <c r="K239" s="53">
        <v>0.15</v>
      </c>
      <c r="L239" s="52">
        <f t="shared" si="90"/>
        <v>711.9</v>
      </c>
      <c r="M239" s="52">
        <f t="shared" si="91"/>
        <v>5457.9</v>
      </c>
      <c r="N239" s="53">
        <v>0.2</v>
      </c>
      <c r="O239" s="52">
        <f t="shared" si="92"/>
        <v>6822.3749999999991</v>
      </c>
      <c r="P239" s="1">
        <f t="shared" si="93"/>
        <v>6820</v>
      </c>
    </row>
    <row r="240" spans="2:16" x14ac:dyDescent="0.25">
      <c r="B240" s="50" t="s">
        <v>2395</v>
      </c>
      <c r="C240" s="51" t="s">
        <v>2396</v>
      </c>
      <c r="D240" s="51" t="s">
        <v>1853</v>
      </c>
      <c r="E240" s="1">
        <v>8090</v>
      </c>
      <c r="F240" s="1">
        <v>0.05</v>
      </c>
      <c r="G240" s="1">
        <v>0.13</v>
      </c>
      <c r="H240" s="1">
        <f t="shared" si="87"/>
        <v>404.5</v>
      </c>
      <c r="I240" s="52">
        <f t="shared" si="88"/>
        <v>1104.2850000000001</v>
      </c>
      <c r="J240" s="52">
        <f t="shared" si="89"/>
        <v>9598.7849999999999</v>
      </c>
      <c r="K240" s="53">
        <v>0.15</v>
      </c>
      <c r="L240" s="52">
        <f t="shared" si="90"/>
        <v>1439.8177499999999</v>
      </c>
      <c r="M240" s="52">
        <f t="shared" si="91"/>
        <v>11038.60275</v>
      </c>
      <c r="N240" s="53">
        <v>0.2</v>
      </c>
      <c r="O240" s="52">
        <f t="shared" si="92"/>
        <v>13798.2534375</v>
      </c>
      <c r="P240" s="1">
        <f t="shared" si="93"/>
        <v>13800</v>
      </c>
    </row>
    <row r="241" spans="2:16" x14ac:dyDescent="0.25">
      <c r="B241" s="50" t="s">
        <v>2397</v>
      </c>
      <c r="C241" s="51" t="s">
        <v>2398</v>
      </c>
      <c r="D241" s="51" t="s">
        <v>1853</v>
      </c>
      <c r="E241" s="1">
        <v>10930</v>
      </c>
      <c r="F241" s="1">
        <v>0.05</v>
      </c>
      <c r="G241" s="1">
        <v>0.13</v>
      </c>
      <c r="H241" s="1">
        <f t="shared" si="87"/>
        <v>546.5</v>
      </c>
      <c r="I241" s="52">
        <f t="shared" si="88"/>
        <v>1491.9450000000002</v>
      </c>
      <c r="J241" s="52">
        <f t="shared" si="89"/>
        <v>12968.445</v>
      </c>
      <c r="K241" s="53">
        <v>0.15</v>
      </c>
      <c r="L241" s="52">
        <f t="shared" si="90"/>
        <v>1945.2667499999998</v>
      </c>
      <c r="M241" s="52">
        <f t="shared" si="91"/>
        <v>14913.711749999999</v>
      </c>
      <c r="N241" s="53">
        <v>0.2</v>
      </c>
      <c r="O241" s="52">
        <f t="shared" si="92"/>
        <v>18642.139687499995</v>
      </c>
      <c r="P241" s="1">
        <f t="shared" si="93"/>
        <v>18640</v>
      </c>
    </row>
    <row r="242" spans="2:16" x14ac:dyDescent="0.25">
      <c r="B242" s="50" t="s">
        <v>2399</v>
      </c>
      <c r="C242" s="51" t="s">
        <v>2400</v>
      </c>
      <c r="D242" s="51" t="s">
        <v>1853</v>
      </c>
      <c r="E242" s="1">
        <v>8000</v>
      </c>
      <c r="F242" s="1">
        <v>0.05</v>
      </c>
      <c r="G242" s="1">
        <v>0.13</v>
      </c>
      <c r="H242" s="1">
        <f t="shared" si="87"/>
        <v>400</v>
      </c>
      <c r="I242" s="52">
        <f t="shared" si="88"/>
        <v>1092</v>
      </c>
      <c r="J242" s="52">
        <f t="shared" si="89"/>
        <v>9492</v>
      </c>
      <c r="K242" s="53">
        <v>0.15</v>
      </c>
      <c r="L242" s="52">
        <f t="shared" si="90"/>
        <v>1423.8</v>
      </c>
      <c r="M242" s="52">
        <f t="shared" si="91"/>
        <v>10915.8</v>
      </c>
      <c r="N242" s="53">
        <v>0.2</v>
      </c>
      <c r="O242" s="52">
        <f t="shared" si="92"/>
        <v>13644.749999999998</v>
      </c>
      <c r="P242" s="1">
        <f t="shared" si="93"/>
        <v>13640</v>
      </c>
    </row>
    <row r="243" spans="2:16" x14ac:dyDescent="0.25">
      <c r="B243" s="125" t="s">
        <v>2401</v>
      </c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</row>
    <row r="244" spans="2:16" x14ac:dyDescent="0.25">
      <c r="B244" s="50" t="s">
        <v>2257</v>
      </c>
      <c r="C244" s="51" t="s">
        <v>2402</v>
      </c>
      <c r="D244" s="51" t="s">
        <v>2401</v>
      </c>
      <c r="E244" s="1">
        <v>1680</v>
      </c>
      <c r="F244" s="1">
        <v>0.05</v>
      </c>
      <c r="G244" s="1">
        <v>0.13</v>
      </c>
      <c r="H244" s="1">
        <f t="shared" ref="H244:H257" si="94">F244*E244</f>
        <v>84</v>
      </c>
      <c r="I244" s="52">
        <f t="shared" ref="I244:I257" si="95">G244*(E244+H244)</f>
        <v>229.32000000000002</v>
      </c>
      <c r="J244" s="52">
        <f t="shared" ref="J244:J257" si="96">E244+H244+I244</f>
        <v>1993.32</v>
      </c>
      <c r="K244" s="53">
        <v>0.15</v>
      </c>
      <c r="L244" s="52">
        <f t="shared" ref="L244:L262" si="97">J244*K244</f>
        <v>298.99799999999999</v>
      </c>
      <c r="M244" s="52">
        <f t="shared" ref="M244:M262" si="98">J244+L244</f>
        <v>2292.3179999999998</v>
      </c>
      <c r="N244" s="53">
        <v>0.2</v>
      </c>
      <c r="O244" s="52">
        <f t="shared" ref="O244:O262" si="99">$M244/(1-N244)</f>
        <v>2865.3974999999996</v>
      </c>
      <c r="P244" s="1">
        <f t="shared" ref="P244:P258" si="100">MROUND(O244,10)</f>
        <v>2870</v>
      </c>
    </row>
    <row r="245" spans="2:16" x14ac:dyDescent="0.25">
      <c r="B245" s="50" t="s">
        <v>2284</v>
      </c>
      <c r="C245" s="51" t="s">
        <v>2403</v>
      </c>
      <c r="D245" s="51" t="s">
        <v>2401</v>
      </c>
      <c r="E245" s="1">
        <v>2340</v>
      </c>
      <c r="F245" s="1">
        <v>0.05</v>
      </c>
      <c r="G245" s="1">
        <v>0.13</v>
      </c>
      <c r="H245" s="1">
        <f t="shared" si="94"/>
        <v>117</v>
      </c>
      <c r="I245" s="52">
        <f t="shared" si="95"/>
        <v>319.41000000000003</v>
      </c>
      <c r="J245" s="52">
        <f t="shared" si="96"/>
        <v>2776.41</v>
      </c>
      <c r="K245" s="53">
        <v>0.15</v>
      </c>
      <c r="L245" s="52">
        <f t="shared" si="97"/>
        <v>416.46149999999994</v>
      </c>
      <c r="M245" s="52">
        <f t="shared" si="98"/>
        <v>3192.8714999999997</v>
      </c>
      <c r="N245" s="53">
        <v>0.2</v>
      </c>
      <c r="O245" s="52">
        <f t="shared" si="99"/>
        <v>3991.0893749999996</v>
      </c>
      <c r="P245" s="1">
        <f t="shared" si="100"/>
        <v>3990</v>
      </c>
    </row>
    <row r="246" spans="2:16" x14ac:dyDescent="0.25">
      <c r="B246" s="50" t="s">
        <v>2286</v>
      </c>
      <c r="C246" s="51" t="s">
        <v>2404</v>
      </c>
      <c r="D246" s="51" t="s">
        <v>2401</v>
      </c>
      <c r="E246" s="1">
        <v>2770</v>
      </c>
      <c r="F246" s="1">
        <v>0.05</v>
      </c>
      <c r="G246" s="1">
        <v>0.13</v>
      </c>
      <c r="H246" s="1">
        <f t="shared" si="94"/>
        <v>138.5</v>
      </c>
      <c r="I246" s="52">
        <f t="shared" si="95"/>
        <v>378.10500000000002</v>
      </c>
      <c r="J246" s="52">
        <f t="shared" si="96"/>
        <v>3286.605</v>
      </c>
      <c r="K246" s="53">
        <v>0.15</v>
      </c>
      <c r="L246" s="52">
        <f t="shared" si="97"/>
        <v>492.99074999999999</v>
      </c>
      <c r="M246" s="52">
        <f t="shared" si="98"/>
        <v>3779.59575</v>
      </c>
      <c r="N246" s="53">
        <v>0.2</v>
      </c>
      <c r="O246" s="52">
        <f t="shared" si="99"/>
        <v>4724.4946874999996</v>
      </c>
      <c r="P246" s="1">
        <f t="shared" si="100"/>
        <v>4720</v>
      </c>
    </row>
    <row r="247" spans="2:16" x14ac:dyDescent="0.25">
      <c r="B247" s="50"/>
      <c r="C247" s="51" t="s">
        <v>2405</v>
      </c>
      <c r="D247" s="51" t="s">
        <v>2401</v>
      </c>
      <c r="E247" s="1">
        <v>5250</v>
      </c>
      <c r="F247" s="1">
        <v>0.05</v>
      </c>
      <c r="G247" s="1">
        <v>0.13</v>
      </c>
      <c r="H247" s="1">
        <f t="shared" si="94"/>
        <v>262.5</v>
      </c>
      <c r="I247" s="52">
        <f t="shared" si="95"/>
        <v>716.625</v>
      </c>
      <c r="J247" s="52">
        <f t="shared" si="96"/>
        <v>6229.125</v>
      </c>
      <c r="K247" s="53">
        <v>0.15</v>
      </c>
      <c r="L247" s="52">
        <f t="shared" si="97"/>
        <v>934.36874999999998</v>
      </c>
      <c r="M247" s="52">
        <f t="shared" si="98"/>
        <v>7163.4937499999996</v>
      </c>
      <c r="N247" s="53">
        <v>0.2</v>
      </c>
      <c r="O247" s="52">
        <f t="shared" si="99"/>
        <v>8954.3671874999982</v>
      </c>
      <c r="P247" s="1">
        <f t="shared" si="100"/>
        <v>8950</v>
      </c>
    </row>
    <row r="248" spans="2:16" x14ac:dyDescent="0.25">
      <c r="B248" s="50" t="s">
        <v>2406</v>
      </c>
      <c r="C248" s="51" t="s">
        <v>2407</v>
      </c>
      <c r="D248" s="51" t="s">
        <v>2401</v>
      </c>
      <c r="E248" s="1">
        <v>6740</v>
      </c>
      <c r="F248" s="1">
        <v>0.05</v>
      </c>
      <c r="G248" s="1">
        <v>0.13</v>
      </c>
      <c r="H248" s="1">
        <f t="shared" si="94"/>
        <v>337</v>
      </c>
      <c r="I248" s="52">
        <f t="shared" si="95"/>
        <v>920.01</v>
      </c>
      <c r="J248" s="52">
        <f t="shared" si="96"/>
        <v>7997.01</v>
      </c>
      <c r="K248" s="53">
        <v>0.15</v>
      </c>
      <c r="L248" s="52">
        <f t="shared" si="97"/>
        <v>1199.5515</v>
      </c>
      <c r="M248" s="52">
        <f t="shared" si="98"/>
        <v>9196.5614999999998</v>
      </c>
      <c r="N248" s="53">
        <v>0.2</v>
      </c>
      <c r="O248" s="52">
        <f t="shared" si="99"/>
        <v>11495.701874999999</v>
      </c>
      <c r="P248" s="1">
        <f t="shared" si="100"/>
        <v>11500</v>
      </c>
    </row>
    <row r="249" spans="2:16" x14ac:dyDescent="0.25">
      <c r="B249" s="50" t="s">
        <v>2408</v>
      </c>
      <c r="C249" s="51" t="s">
        <v>2409</v>
      </c>
      <c r="D249" s="51" t="s">
        <v>2401</v>
      </c>
      <c r="E249" s="1">
        <v>7190</v>
      </c>
      <c r="F249" s="1">
        <v>0.05</v>
      </c>
      <c r="G249" s="1">
        <v>0.13</v>
      </c>
      <c r="H249" s="1">
        <f t="shared" si="94"/>
        <v>359.5</v>
      </c>
      <c r="I249" s="52">
        <f t="shared" si="95"/>
        <v>981.43500000000006</v>
      </c>
      <c r="J249" s="52">
        <f t="shared" si="96"/>
        <v>8530.9349999999995</v>
      </c>
      <c r="K249" s="53">
        <v>0.15</v>
      </c>
      <c r="L249" s="52">
        <f t="shared" si="97"/>
        <v>1279.6402499999999</v>
      </c>
      <c r="M249" s="52">
        <f t="shared" si="98"/>
        <v>9810.5752499999999</v>
      </c>
      <c r="N249" s="53">
        <v>0.2</v>
      </c>
      <c r="O249" s="52">
        <f t="shared" si="99"/>
        <v>12263.219062499998</v>
      </c>
      <c r="P249" s="1">
        <f t="shared" si="100"/>
        <v>12260</v>
      </c>
    </row>
    <row r="250" spans="2:16" x14ac:dyDescent="0.25">
      <c r="B250" s="50" t="s">
        <v>2410</v>
      </c>
      <c r="C250" s="51" t="s">
        <v>2411</v>
      </c>
      <c r="D250" s="51" t="s">
        <v>2401</v>
      </c>
      <c r="E250" s="1">
        <v>4990</v>
      </c>
      <c r="F250" s="1">
        <v>0.05</v>
      </c>
      <c r="G250" s="1">
        <v>0.13</v>
      </c>
      <c r="H250" s="1">
        <f t="shared" si="94"/>
        <v>249.5</v>
      </c>
      <c r="I250" s="52">
        <f t="shared" si="95"/>
        <v>681.13499999999999</v>
      </c>
      <c r="J250" s="52">
        <f t="shared" si="96"/>
        <v>5920.6350000000002</v>
      </c>
      <c r="K250" s="53">
        <v>0.15</v>
      </c>
      <c r="L250" s="52">
        <f t="shared" si="97"/>
        <v>888.09524999999996</v>
      </c>
      <c r="M250" s="52">
        <f t="shared" si="98"/>
        <v>6808.7302500000005</v>
      </c>
      <c r="N250" s="53">
        <v>0.2</v>
      </c>
      <c r="O250" s="52">
        <f t="shared" si="99"/>
        <v>8510.9128125000007</v>
      </c>
      <c r="P250" s="1">
        <f t="shared" si="100"/>
        <v>8510</v>
      </c>
    </row>
    <row r="251" spans="2:16" x14ac:dyDescent="0.25">
      <c r="B251" s="54" t="s">
        <v>2369</v>
      </c>
      <c r="C251" s="1" t="s">
        <v>2412</v>
      </c>
      <c r="D251" s="1" t="s">
        <v>2401</v>
      </c>
      <c r="E251" s="1">
        <v>1610</v>
      </c>
      <c r="F251" s="1">
        <v>0.05</v>
      </c>
      <c r="G251" s="1">
        <v>0.13</v>
      </c>
      <c r="H251" s="1">
        <f t="shared" si="94"/>
        <v>80.5</v>
      </c>
      <c r="I251" s="52">
        <f t="shared" si="95"/>
        <v>219.76500000000001</v>
      </c>
      <c r="J251" s="52">
        <f t="shared" si="96"/>
        <v>1910.2650000000001</v>
      </c>
      <c r="K251" s="53">
        <v>0.15</v>
      </c>
      <c r="L251" s="52">
        <f t="shared" si="97"/>
        <v>286.53975000000003</v>
      </c>
      <c r="M251" s="52">
        <f t="shared" si="98"/>
        <v>2196.8047500000002</v>
      </c>
      <c r="N251" s="53">
        <v>0.2</v>
      </c>
      <c r="O251" s="52">
        <f t="shared" si="99"/>
        <v>2746.0059375000001</v>
      </c>
      <c r="P251" s="1">
        <f t="shared" si="100"/>
        <v>2750</v>
      </c>
    </row>
    <row r="252" spans="2:16" x14ac:dyDescent="0.25">
      <c r="B252" s="54" t="s">
        <v>2413</v>
      </c>
      <c r="C252" s="1" t="s">
        <v>2414</v>
      </c>
      <c r="D252" s="1" t="s">
        <v>2401</v>
      </c>
      <c r="E252" s="1">
        <v>5660</v>
      </c>
      <c r="F252" s="1">
        <v>0.05</v>
      </c>
      <c r="G252" s="1">
        <v>0.13</v>
      </c>
      <c r="H252" s="1">
        <f t="shared" si="94"/>
        <v>283</v>
      </c>
      <c r="I252" s="52">
        <f t="shared" si="95"/>
        <v>772.59</v>
      </c>
      <c r="J252" s="52">
        <f t="shared" si="96"/>
        <v>6715.59</v>
      </c>
      <c r="K252" s="53">
        <v>0.15</v>
      </c>
      <c r="L252" s="52">
        <f t="shared" si="97"/>
        <v>1007.3385</v>
      </c>
      <c r="M252" s="52">
        <f t="shared" si="98"/>
        <v>7722.9285</v>
      </c>
      <c r="N252" s="53">
        <v>0.2</v>
      </c>
      <c r="O252" s="52">
        <f t="shared" si="99"/>
        <v>9653.6606249999986</v>
      </c>
      <c r="P252" s="1">
        <f t="shared" si="100"/>
        <v>9650</v>
      </c>
    </row>
    <row r="253" spans="2:16" x14ac:dyDescent="0.25">
      <c r="B253" s="50" t="s">
        <v>2415</v>
      </c>
      <c r="C253" s="51" t="s">
        <v>2416</v>
      </c>
      <c r="D253" s="51" t="s">
        <v>2401</v>
      </c>
      <c r="E253" s="1">
        <v>2270</v>
      </c>
      <c r="F253" s="1">
        <v>0.05</v>
      </c>
      <c r="G253" s="1">
        <v>0.13</v>
      </c>
      <c r="H253" s="1">
        <f t="shared" si="94"/>
        <v>113.5</v>
      </c>
      <c r="I253" s="52">
        <f t="shared" si="95"/>
        <v>309.85500000000002</v>
      </c>
      <c r="J253" s="52">
        <f t="shared" si="96"/>
        <v>2693.355</v>
      </c>
      <c r="K253" s="53">
        <v>0.15</v>
      </c>
      <c r="L253" s="52">
        <f t="shared" si="97"/>
        <v>404.00324999999998</v>
      </c>
      <c r="M253" s="52">
        <f t="shared" si="98"/>
        <v>3097.3582500000002</v>
      </c>
      <c r="N253" s="53">
        <v>0.2</v>
      </c>
      <c r="O253" s="52">
        <f t="shared" si="99"/>
        <v>3871.6978125000001</v>
      </c>
      <c r="P253" s="1">
        <f t="shared" si="100"/>
        <v>3870</v>
      </c>
    </row>
    <row r="254" spans="2:16" x14ac:dyDescent="0.25">
      <c r="B254" s="54" t="s">
        <v>2417</v>
      </c>
      <c r="C254" s="1" t="s">
        <v>2418</v>
      </c>
      <c r="D254" s="1" t="s">
        <v>2401</v>
      </c>
      <c r="E254" s="1">
        <v>1500</v>
      </c>
      <c r="F254" s="1">
        <v>0.05</v>
      </c>
      <c r="G254" s="1">
        <v>0.13</v>
      </c>
      <c r="H254" s="1">
        <f t="shared" si="94"/>
        <v>75</v>
      </c>
      <c r="I254" s="52">
        <f t="shared" si="95"/>
        <v>204.75</v>
      </c>
      <c r="J254" s="52">
        <f t="shared" si="96"/>
        <v>1779.75</v>
      </c>
      <c r="K254" s="53">
        <v>0.15</v>
      </c>
      <c r="L254" s="52">
        <f t="shared" si="97"/>
        <v>266.96249999999998</v>
      </c>
      <c r="M254" s="52">
        <f t="shared" si="98"/>
        <v>2046.7125000000001</v>
      </c>
      <c r="N254" s="53">
        <v>0.2</v>
      </c>
      <c r="O254" s="52">
        <f t="shared" si="99"/>
        <v>2558.390625</v>
      </c>
      <c r="P254" s="1">
        <f t="shared" si="100"/>
        <v>2560</v>
      </c>
    </row>
    <row r="255" spans="2:16" x14ac:dyDescent="0.25">
      <c r="B255" s="50" t="s">
        <v>2294</v>
      </c>
      <c r="C255" s="51" t="s">
        <v>2419</v>
      </c>
      <c r="D255" s="51" t="s">
        <v>2401</v>
      </c>
      <c r="E255" s="1">
        <v>2330</v>
      </c>
      <c r="F255" s="1">
        <v>0.05</v>
      </c>
      <c r="G255" s="1">
        <v>0.13</v>
      </c>
      <c r="H255" s="1">
        <f t="shared" si="94"/>
        <v>116.5</v>
      </c>
      <c r="I255" s="52">
        <f t="shared" si="95"/>
        <v>318.04500000000002</v>
      </c>
      <c r="J255" s="52">
        <f t="shared" si="96"/>
        <v>2764.5450000000001</v>
      </c>
      <c r="K255" s="53">
        <v>0.15</v>
      </c>
      <c r="L255" s="52">
        <f t="shared" si="97"/>
        <v>414.68175000000002</v>
      </c>
      <c r="M255" s="52">
        <f t="shared" si="98"/>
        <v>3179.2267500000003</v>
      </c>
      <c r="N255" s="53">
        <v>0.2</v>
      </c>
      <c r="O255" s="52">
        <f t="shared" si="99"/>
        <v>3974.0334375000002</v>
      </c>
      <c r="P255" s="1">
        <f t="shared" si="100"/>
        <v>3970</v>
      </c>
    </row>
    <row r="256" spans="2:16" x14ac:dyDescent="0.25">
      <c r="B256" s="54" t="s">
        <v>2420</v>
      </c>
      <c r="C256" s="1" t="s">
        <v>2421</v>
      </c>
      <c r="D256" s="1" t="s">
        <v>2401</v>
      </c>
      <c r="E256" s="1">
        <v>2330</v>
      </c>
      <c r="F256" s="1">
        <v>0.05</v>
      </c>
      <c r="G256" s="1">
        <v>0.13</v>
      </c>
      <c r="H256" s="1">
        <f t="shared" si="94"/>
        <v>116.5</v>
      </c>
      <c r="I256" s="52">
        <f t="shared" si="95"/>
        <v>318.04500000000002</v>
      </c>
      <c r="J256" s="52">
        <f t="shared" si="96"/>
        <v>2764.5450000000001</v>
      </c>
      <c r="K256" s="53">
        <v>0.15</v>
      </c>
      <c r="L256" s="52">
        <f t="shared" si="97"/>
        <v>414.68175000000002</v>
      </c>
      <c r="M256" s="52">
        <f t="shared" si="98"/>
        <v>3179.2267500000003</v>
      </c>
      <c r="N256" s="53">
        <v>0.2</v>
      </c>
      <c r="O256" s="52">
        <f t="shared" si="99"/>
        <v>3974.0334375000002</v>
      </c>
      <c r="P256" s="1">
        <f t="shared" si="100"/>
        <v>3970</v>
      </c>
    </row>
    <row r="257" spans="2:16" x14ac:dyDescent="0.25">
      <c r="B257" s="50" t="s">
        <v>2422</v>
      </c>
      <c r="C257" s="51" t="s">
        <v>2423</v>
      </c>
      <c r="D257" s="51" t="s">
        <v>2401</v>
      </c>
      <c r="E257" s="1">
        <v>3470</v>
      </c>
      <c r="F257" s="1">
        <v>0.05</v>
      </c>
      <c r="G257" s="1">
        <v>0.13</v>
      </c>
      <c r="H257" s="1">
        <f t="shared" si="94"/>
        <v>173.5</v>
      </c>
      <c r="I257" s="52">
        <f t="shared" si="95"/>
        <v>473.65500000000003</v>
      </c>
      <c r="J257" s="52">
        <f t="shared" si="96"/>
        <v>4117.1549999999997</v>
      </c>
      <c r="K257" s="53">
        <v>0.15</v>
      </c>
      <c r="L257" s="52">
        <f t="shared" si="97"/>
        <v>617.57324999999992</v>
      </c>
      <c r="M257" s="52">
        <f t="shared" si="98"/>
        <v>4734.7282500000001</v>
      </c>
      <c r="N257" s="53">
        <v>0.2</v>
      </c>
      <c r="O257" s="52">
        <f t="shared" si="99"/>
        <v>5918.4103125000001</v>
      </c>
      <c r="P257" s="1">
        <f t="shared" si="100"/>
        <v>5920</v>
      </c>
    </row>
    <row r="258" spans="2:16" x14ac:dyDescent="0.25">
      <c r="B258" s="50" t="s">
        <v>2387</v>
      </c>
      <c r="C258" s="51" t="s">
        <v>2424</v>
      </c>
      <c r="D258" s="51" t="s">
        <v>2401</v>
      </c>
      <c r="E258" s="1">
        <v>5520</v>
      </c>
      <c r="F258" s="1">
        <v>0.05</v>
      </c>
      <c r="G258" s="1">
        <v>0.13</v>
      </c>
      <c r="H258" s="1">
        <f>F258*E258</f>
        <v>276</v>
      </c>
      <c r="I258" s="52">
        <f>G258*(E258+H258)</f>
        <v>753.48</v>
      </c>
      <c r="J258" s="52">
        <f>E258+H258+I258</f>
        <v>6549.48</v>
      </c>
      <c r="K258" s="53">
        <v>0.15</v>
      </c>
      <c r="L258" s="52">
        <f t="shared" si="97"/>
        <v>982.42199999999991</v>
      </c>
      <c r="M258" s="52">
        <f t="shared" si="98"/>
        <v>7531.9019999999991</v>
      </c>
      <c r="N258" s="53">
        <v>0.2</v>
      </c>
      <c r="O258" s="52">
        <f t="shared" si="99"/>
        <v>9414.8774999999987</v>
      </c>
      <c r="P258" s="1">
        <f t="shared" si="100"/>
        <v>9410</v>
      </c>
    </row>
    <row r="259" spans="2:16" x14ac:dyDescent="0.25">
      <c r="B259" s="50" t="s">
        <v>2425</v>
      </c>
      <c r="C259" s="51" t="s">
        <v>2426</v>
      </c>
      <c r="D259" s="51" t="s">
        <v>2401</v>
      </c>
      <c r="E259" s="1">
        <v>1930</v>
      </c>
      <c r="F259" s="1">
        <v>0.05</v>
      </c>
      <c r="G259" s="1">
        <v>0.13</v>
      </c>
      <c r="H259" s="1">
        <f>F259*E259</f>
        <v>96.5</v>
      </c>
      <c r="I259" s="52">
        <f>G259*(E259+H259)</f>
        <v>263.44499999999999</v>
      </c>
      <c r="J259" s="52">
        <f>E259+H259+I259</f>
        <v>2289.9450000000002</v>
      </c>
      <c r="K259" s="53">
        <v>0.15</v>
      </c>
      <c r="L259" s="52">
        <f t="shared" si="97"/>
        <v>343.49175000000002</v>
      </c>
      <c r="M259" s="52">
        <f t="shared" si="98"/>
        <v>2633.4367500000003</v>
      </c>
      <c r="N259" s="53">
        <v>0.2</v>
      </c>
      <c r="O259" s="52">
        <f t="shared" si="99"/>
        <v>3291.7959375</v>
      </c>
      <c r="P259" s="1">
        <f>MROUND(O259,10)</f>
        <v>3290</v>
      </c>
    </row>
    <row r="260" spans="2:16" x14ac:dyDescent="0.25">
      <c r="B260" s="54" t="s">
        <v>2300</v>
      </c>
      <c r="C260" s="1" t="s">
        <v>2427</v>
      </c>
      <c r="D260" s="1" t="s">
        <v>2401</v>
      </c>
      <c r="E260" s="1">
        <v>3820</v>
      </c>
      <c r="F260" s="1">
        <v>0.05</v>
      </c>
      <c r="G260" s="1">
        <v>0.13</v>
      </c>
      <c r="H260" s="1">
        <f>F260*E260</f>
        <v>191</v>
      </c>
      <c r="I260" s="52">
        <f>G260*(E260+H260)</f>
        <v>521.43000000000006</v>
      </c>
      <c r="J260" s="52">
        <f>E260+H260+I260</f>
        <v>4532.43</v>
      </c>
      <c r="K260" s="53">
        <v>0.15</v>
      </c>
      <c r="L260" s="52">
        <f t="shared" si="97"/>
        <v>679.86450000000002</v>
      </c>
      <c r="M260" s="52">
        <f t="shared" si="98"/>
        <v>5212.2945</v>
      </c>
      <c r="N260" s="53">
        <v>0.2</v>
      </c>
      <c r="O260" s="52">
        <f t="shared" si="99"/>
        <v>6515.368125</v>
      </c>
      <c r="P260" s="1">
        <f>MROUND(O260,10)</f>
        <v>6520</v>
      </c>
    </row>
    <row r="261" spans="2:16" x14ac:dyDescent="0.25">
      <c r="B261" s="50" t="s">
        <v>2304</v>
      </c>
      <c r="C261" s="51" t="s">
        <v>2428</v>
      </c>
      <c r="D261" s="51" t="s">
        <v>2401</v>
      </c>
      <c r="E261" s="1">
        <v>7550</v>
      </c>
      <c r="F261" s="1">
        <v>0.05</v>
      </c>
      <c r="G261" s="1">
        <v>0.13</v>
      </c>
      <c r="H261" s="1">
        <f>F261*E261</f>
        <v>377.5</v>
      </c>
      <c r="I261" s="52">
        <f>G261*(E261+H261)</f>
        <v>1030.575</v>
      </c>
      <c r="J261" s="52">
        <f>E261+H261+I261</f>
        <v>8958.0750000000007</v>
      </c>
      <c r="K261" s="53">
        <v>0.15</v>
      </c>
      <c r="L261" s="52">
        <f t="shared" si="97"/>
        <v>1343.7112500000001</v>
      </c>
      <c r="M261" s="52">
        <f t="shared" si="98"/>
        <v>10301.786250000001</v>
      </c>
      <c r="N261" s="53">
        <v>0.2</v>
      </c>
      <c r="O261" s="52">
        <f t="shared" si="99"/>
        <v>12877.2328125</v>
      </c>
      <c r="P261" s="1">
        <f>MROUND(O261,10)</f>
        <v>12880</v>
      </c>
    </row>
    <row r="262" spans="2:16" x14ac:dyDescent="0.25">
      <c r="B262" s="50" t="s">
        <v>2429</v>
      </c>
      <c r="C262" s="51" t="s">
        <v>2430</v>
      </c>
      <c r="D262" s="51" t="s">
        <v>2401</v>
      </c>
      <c r="E262" s="1">
        <v>9430</v>
      </c>
      <c r="F262" s="1">
        <v>0.05</v>
      </c>
      <c r="G262" s="1">
        <v>0.13</v>
      </c>
      <c r="H262" s="1">
        <f>F262*E262</f>
        <v>471.5</v>
      </c>
      <c r="I262" s="52">
        <f>G262*(E262+H262)</f>
        <v>1287.1949999999999</v>
      </c>
      <c r="J262" s="52">
        <f>E262+H262+I262</f>
        <v>11188.695</v>
      </c>
      <c r="K262" s="53">
        <v>0.15</v>
      </c>
      <c r="L262" s="52">
        <f t="shared" si="97"/>
        <v>1678.3042499999999</v>
      </c>
      <c r="M262" s="52">
        <f t="shared" si="98"/>
        <v>12866.999249999999</v>
      </c>
      <c r="N262" s="53">
        <v>0.2</v>
      </c>
      <c r="O262" s="52">
        <f t="shared" si="99"/>
        <v>16083.749062499997</v>
      </c>
      <c r="P262" s="1">
        <f>MROUND(O262,10)</f>
        <v>16080</v>
      </c>
    </row>
    <row r="263" spans="2:16" x14ac:dyDescent="0.25">
      <c r="B263" s="125" t="s">
        <v>1864</v>
      </c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</row>
    <row r="264" spans="2:16" x14ac:dyDescent="0.25">
      <c r="B264" s="50" t="s">
        <v>2257</v>
      </c>
      <c r="C264" s="51" t="s">
        <v>2431</v>
      </c>
      <c r="D264" s="51" t="s">
        <v>1864</v>
      </c>
      <c r="E264" s="1">
        <v>1750</v>
      </c>
      <c r="F264" s="1">
        <v>0.05</v>
      </c>
      <c r="G264" s="1">
        <v>0.13</v>
      </c>
      <c r="H264" s="1">
        <f t="shared" ref="H264:H278" si="101">F264*E264</f>
        <v>87.5</v>
      </c>
      <c r="I264" s="52">
        <f t="shared" ref="I264:I278" si="102">G264*(E264+H264)</f>
        <v>238.875</v>
      </c>
      <c r="J264" s="52">
        <f t="shared" ref="J264:J278" si="103">E264+H264+I264</f>
        <v>2076.375</v>
      </c>
      <c r="K264" s="53">
        <v>0.15</v>
      </c>
      <c r="L264" s="52">
        <f t="shared" ref="L264:L278" si="104">J264*K264</f>
        <v>311.45625000000001</v>
      </c>
      <c r="M264" s="52">
        <f t="shared" ref="M264:M278" si="105">J264+L264</f>
        <v>2387.8312500000002</v>
      </c>
      <c r="N264" s="53">
        <v>0.2</v>
      </c>
      <c r="O264" s="52">
        <f t="shared" ref="O264:O278" si="106">$M264/(1-N264)</f>
        <v>2984.7890625</v>
      </c>
      <c r="P264" s="1">
        <f t="shared" ref="P264:P278" si="107">MROUND(O264,10)</f>
        <v>2980</v>
      </c>
    </row>
    <row r="265" spans="2:16" x14ac:dyDescent="0.25">
      <c r="B265" s="50" t="s">
        <v>2284</v>
      </c>
      <c r="C265" s="51" t="s">
        <v>2432</v>
      </c>
      <c r="D265" s="51" t="s">
        <v>1864</v>
      </c>
      <c r="E265" s="1">
        <v>2490</v>
      </c>
      <c r="F265" s="1">
        <v>0.05</v>
      </c>
      <c r="G265" s="1">
        <v>0.13</v>
      </c>
      <c r="H265" s="1">
        <f t="shared" si="101"/>
        <v>124.5</v>
      </c>
      <c r="I265" s="52">
        <f t="shared" si="102"/>
        <v>339.88499999999999</v>
      </c>
      <c r="J265" s="52">
        <f t="shared" si="103"/>
        <v>2954.3850000000002</v>
      </c>
      <c r="K265" s="53">
        <v>0.15</v>
      </c>
      <c r="L265" s="52">
        <f t="shared" si="104"/>
        <v>443.15775000000002</v>
      </c>
      <c r="M265" s="52">
        <f t="shared" si="105"/>
        <v>3397.5427500000001</v>
      </c>
      <c r="N265" s="53">
        <v>0.2</v>
      </c>
      <c r="O265" s="52">
        <f t="shared" si="106"/>
        <v>4246.9284374999997</v>
      </c>
      <c r="P265" s="1">
        <f t="shared" si="107"/>
        <v>4250</v>
      </c>
    </row>
    <row r="266" spans="2:16" x14ac:dyDescent="0.25">
      <c r="B266" s="50" t="s">
        <v>2286</v>
      </c>
      <c r="C266" s="51" t="s">
        <v>2433</v>
      </c>
      <c r="D266" s="51" t="s">
        <v>1864</v>
      </c>
      <c r="E266" s="1">
        <v>2910</v>
      </c>
      <c r="F266" s="1">
        <v>0.05</v>
      </c>
      <c r="G266" s="1">
        <v>0.13</v>
      </c>
      <c r="H266" s="1">
        <f t="shared" si="101"/>
        <v>145.5</v>
      </c>
      <c r="I266" s="52">
        <f t="shared" si="102"/>
        <v>397.21500000000003</v>
      </c>
      <c r="J266" s="52">
        <f t="shared" si="103"/>
        <v>3452.7150000000001</v>
      </c>
      <c r="K266" s="53">
        <v>0.15</v>
      </c>
      <c r="L266" s="52">
        <f t="shared" si="104"/>
        <v>517.90724999999998</v>
      </c>
      <c r="M266" s="52">
        <f t="shared" si="105"/>
        <v>3970.6222500000003</v>
      </c>
      <c r="N266" s="53">
        <v>0.2</v>
      </c>
      <c r="O266" s="52">
        <f t="shared" si="106"/>
        <v>4963.2778125000004</v>
      </c>
      <c r="P266" s="1">
        <f t="shared" si="107"/>
        <v>4960</v>
      </c>
    </row>
    <row r="267" spans="2:16" x14ac:dyDescent="0.25">
      <c r="B267" s="50" t="s">
        <v>2206</v>
      </c>
      <c r="C267" s="51" t="s">
        <v>2434</v>
      </c>
      <c r="D267" s="51" t="s">
        <v>1864</v>
      </c>
      <c r="E267" s="1">
        <v>6090</v>
      </c>
      <c r="F267" s="1">
        <v>0.05</v>
      </c>
      <c r="G267" s="1">
        <v>0.13</v>
      </c>
      <c r="H267" s="1">
        <f t="shared" si="101"/>
        <v>304.5</v>
      </c>
      <c r="I267" s="52">
        <f t="shared" si="102"/>
        <v>831.28500000000008</v>
      </c>
      <c r="J267" s="52">
        <f t="shared" si="103"/>
        <v>7225.7849999999999</v>
      </c>
      <c r="K267" s="53">
        <v>0.15</v>
      </c>
      <c r="L267" s="52">
        <f t="shared" si="104"/>
        <v>1083.8677499999999</v>
      </c>
      <c r="M267" s="52">
        <f t="shared" si="105"/>
        <v>8309.6527499999993</v>
      </c>
      <c r="N267" s="53">
        <v>0.2</v>
      </c>
      <c r="O267" s="52">
        <f t="shared" si="106"/>
        <v>10387.065937499998</v>
      </c>
      <c r="P267" s="1">
        <f t="shared" si="107"/>
        <v>10390</v>
      </c>
    </row>
    <row r="268" spans="2:16" x14ac:dyDescent="0.25">
      <c r="B268" s="54" t="s">
        <v>2435</v>
      </c>
      <c r="C268" s="1" t="s">
        <v>2436</v>
      </c>
      <c r="D268" s="1" t="s">
        <v>1864</v>
      </c>
      <c r="E268" s="1">
        <v>6920</v>
      </c>
      <c r="F268" s="1">
        <v>0.05</v>
      </c>
      <c r="G268" s="1">
        <v>0.13</v>
      </c>
      <c r="H268" s="1">
        <f t="shared" si="101"/>
        <v>346</v>
      </c>
      <c r="I268" s="52">
        <f t="shared" si="102"/>
        <v>944.58</v>
      </c>
      <c r="J268" s="52">
        <f t="shared" si="103"/>
        <v>8210.58</v>
      </c>
      <c r="K268" s="53">
        <v>0.15</v>
      </c>
      <c r="L268" s="52">
        <f t="shared" si="104"/>
        <v>1231.587</v>
      </c>
      <c r="M268" s="52">
        <f t="shared" si="105"/>
        <v>9442.1669999999995</v>
      </c>
      <c r="N268" s="53">
        <v>0.2</v>
      </c>
      <c r="O268" s="52">
        <f t="shared" si="106"/>
        <v>11802.708749999998</v>
      </c>
      <c r="P268" s="1">
        <f t="shared" si="107"/>
        <v>11800</v>
      </c>
    </row>
    <row r="269" spans="2:16" x14ac:dyDescent="0.25">
      <c r="B269" s="50" t="s">
        <v>2413</v>
      </c>
      <c r="C269" s="51" t="s">
        <v>2437</v>
      </c>
      <c r="D269" s="51" t="s">
        <v>1864</v>
      </c>
      <c r="E269" s="1">
        <v>6050</v>
      </c>
      <c r="F269" s="1">
        <v>0.05</v>
      </c>
      <c r="G269" s="1">
        <v>0.13</v>
      </c>
      <c r="H269" s="1">
        <f t="shared" si="101"/>
        <v>302.5</v>
      </c>
      <c r="I269" s="52">
        <f t="shared" si="102"/>
        <v>825.82500000000005</v>
      </c>
      <c r="J269" s="52">
        <f t="shared" si="103"/>
        <v>7178.3249999999998</v>
      </c>
      <c r="K269" s="53">
        <v>0.15</v>
      </c>
      <c r="L269" s="52">
        <f t="shared" si="104"/>
        <v>1076.74875</v>
      </c>
      <c r="M269" s="52">
        <f t="shared" si="105"/>
        <v>8255.0737499999996</v>
      </c>
      <c r="N269" s="53">
        <v>0.2</v>
      </c>
      <c r="O269" s="52">
        <f t="shared" si="106"/>
        <v>10318.842187499999</v>
      </c>
      <c r="P269" s="1">
        <f t="shared" si="107"/>
        <v>10320</v>
      </c>
    </row>
    <row r="270" spans="2:16" x14ac:dyDescent="0.25">
      <c r="B270" s="50" t="s">
        <v>2438</v>
      </c>
      <c r="C270" s="51" t="s">
        <v>2439</v>
      </c>
      <c r="D270" s="51" t="s">
        <v>1864</v>
      </c>
      <c r="E270" s="1">
        <v>2630</v>
      </c>
      <c r="F270" s="1">
        <v>0.05</v>
      </c>
      <c r="G270" s="1">
        <v>0.13</v>
      </c>
      <c r="H270" s="1">
        <f t="shared" si="101"/>
        <v>131.5</v>
      </c>
      <c r="I270" s="52">
        <f t="shared" si="102"/>
        <v>358.995</v>
      </c>
      <c r="J270" s="52">
        <f t="shared" si="103"/>
        <v>3120.4949999999999</v>
      </c>
      <c r="K270" s="53">
        <v>0.15</v>
      </c>
      <c r="L270" s="52">
        <f t="shared" si="104"/>
        <v>468.07424999999995</v>
      </c>
      <c r="M270" s="52">
        <f t="shared" si="105"/>
        <v>3588.56925</v>
      </c>
      <c r="N270" s="53">
        <v>0.2</v>
      </c>
      <c r="O270" s="52">
        <f t="shared" si="106"/>
        <v>4485.7115624999997</v>
      </c>
      <c r="P270" s="1">
        <f t="shared" si="107"/>
        <v>4490</v>
      </c>
    </row>
    <row r="271" spans="2:16" x14ac:dyDescent="0.25">
      <c r="B271" s="54" t="s">
        <v>2440</v>
      </c>
      <c r="C271" s="1" t="s">
        <v>2441</v>
      </c>
      <c r="D271" s="1" t="s">
        <v>1864</v>
      </c>
      <c r="E271" s="1">
        <v>1710</v>
      </c>
      <c r="F271" s="1">
        <v>0.05</v>
      </c>
      <c r="G271" s="1">
        <v>0.13</v>
      </c>
      <c r="H271" s="1">
        <f t="shared" si="101"/>
        <v>85.5</v>
      </c>
      <c r="I271" s="52">
        <f t="shared" si="102"/>
        <v>233.41500000000002</v>
      </c>
      <c r="J271" s="52">
        <f t="shared" si="103"/>
        <v>2028.915</v>
      </c>
      <c r="K271" s="53">
        <v>0.15</v>
      </c>
      <c r="L271" s="52">
        <f t="shared" si="104"/>
        <v>304.33724999999998</v>
      </c>
      <c r="M271" s="52">
        <f t="shared" si="105"/>
        <v>2333.25225</v>
      </c>
      <c r="N271" s="53">
        <v>0.2</v>
      </c>
      <c r="O271" s="52">
        <f t="shared" si="106"/>
        <v>2916.5653124999999</v>
      </c>
      <c r="P271" s="1">
        <f t="shared" si="107"/>
        <v>2920</v>
      </c>
    </row>
    <row r="272" spans="2:16" x14ac:dyDescent="0.25">
      <c r="B272" s="54" t="s">
        <v>2442</v>
      </c>
      <c r="C272" s="1" t="s">
        <v>2443</v>
      </c>
      <c r="D272" s="1" t="s">
        <v>1864</v>
      </c>
      <c r="E272" s="1">
        <v>1820</v>
      </c>
      <c r="F272" s="1">
        <v>0.05</v>
      </c>
      <c r="G272" s="1">
        <v>0.13</v>
      </c>
      <c r="H272" s="1">
        <f t="shared" si="101"/>
        <v>91</v>
      </c>
      <c r="I272" s="52">
        <f t="shared" si="102"/>
        <v>248.43</v>
      </c>
      <c r="J272" s="52">
        <f t="shared" si="103"/>
        <v>2159.4299999999998</v>
      </c>
      <c r="K272" s="53">
        <v>0.15</v>
      </c>
      <c r="L272" s="52">
        <f t="shared" si="104"/>
        <v>323.91449999999998</v>
      </c>
      <c r="M272" s="52">
        <f t="shared" si="105"/>
        <v>2483.3444999999997</v>
      </c>
      <c r="N272" s="53">
        <v>0.2</v>
      </c>
      <c r="O272" s="52">
        <f t="shared" si="106"/>
        <v>3104.1806249999995</v>
      </c>
      <c r="P272" s="1">
        <f t="shared" si="107"/>
        <v>3100</v>
      </c>
    </row>
    <row r="273" spans="2:16" x14ac:dyDescent="0.25">
      <c r="B273" s="50" t="s">
        <v>2294</v>
      </c>
      <c r="C273" s="51" t="s">
        <v>2444</v>
      </c>
      <c r="D273" s="51" t="s">
        <v>1864</v>
      </c>
      <c r="E273" s="1">
        <v>2630</v>
      </c>
      <c r="F273" s="1">
        <v>0.05</v>
      </c>
      <c r="G273" s="1">
        <v>0.13</v>
      </c>
      <c r="H273" s="1">
        <f t="shared" si="101"/>
        <v>131.5</v>
      </c>
      <c r="I273" s="52">
        <f t="shared" si="102"/>
        <v>358.995</v>
      </c>
      <c r="J273" s="52">
        <f t="shared" si="103"/>
        <v>3120.4949999999999</v>
      </c>
      <c r="K273" s="53">
        <v>0.15</v>
      </c>
      <c r="L273" s="52">
        <f t="shared" si="104"/>
        <v>468.07424999999995</v>
      </c>
      <c r="M273" s="52">
        <f t="shared" si="105"/>
        <v>3588.56925</v>
      </c>
      <c r="N273" s="53">
        <v>0.2</v>
      </c>
      <c r="O273" s="52">
        <f t="shared" si="106"/>
        <v>4485.7115624999997</v>
      </c>
      <c r="P273" s="1">
        <f t="shared" si="107"/>
        <v>4490</v>
      </c>
    </row>
    <row r="274" spans="2:16" x14ac:dyDescent="0.25">
      <c r="B274" s="50" t="s">
        <v>2420</v>
      </c>
      <c r="C274" s="51" t="s">
        <v>2445</v>
      </c>
      <c r="D274" s="51" t="s">
        <v>1864</v>
      </c>
      <c r="E274" s="1">
        <v>3260</v>
      </c>
      <c r="F274" s="1">
        <v>0.05</v>
      </c>
      <c r="G274" s="1">
        <v>0.13</v>
      </c>
      <c r="H274" s="1">
        <f t="shared" si="101"/>
        <v>163</v>
      </c>
      <c r="I274" s="52">
        <f t="shared" si="102"/>
        <v>444.99</v>
      </c>
      <c r="J274" s="52">
        <f t="shared" si="103"/>
        <v>3867.99</v>
      </c>
      <c r="K274" s="53">
        <v>0.15</v>
      </c>
      <c r="L274" s="52">
        <f t="shared" si="104"/>
        <v>580.19849999999997</v>
      </c>
      <c r="M274" s="52">
        <f t="shared" si="105"/>
        <v>4448.1885000000002</v>
      </c>
      <c r="N274" s="53">
        <v>0.2</v>
      </c>
      <c r="O274" s="52">
        <f t="shared" si="106"/>
        <v>5560.2356250000003</v>
      </c>
      <c r="P274" s="1">
        <f t="shared" si="107"/>
        <v>5560</v>
      </c>
    </row>
    <row r="275" spans="2:16" x14ac:dyDescent="0.25">
      <c r="B275" s="50" t="s">
        <v>2387</v>
      </c>
      <c r="C275" s="51" t="s">
        <v>2446</v>
      </c>
      <c r="D275" s="51" t="s">
        <v>1864</v>
      </c>
      <c r="E275" s="1">
        <v>5900</v>
      </c>
      <c r="F275" s="1">
        <v>0.05</v>
      </c>
      <c r="G275" s="1">
        <v>0.13</v>
      </c>
      <c r="H275" s="1">
        <f t="shared" si="101"/>
        <v>295</v>
      </c>
      <c r="I275" s="52">
        <f t="shared" si="102"/>
        <v>805.35</v>
      </c>
      <c r="J275" s="52">
        <f t="shared" si="103"/>
        <v>7000.35</v>
      </c>
      <c r="K275" s="53">
        <v>0.15</v>
      </c>
      <c r="L275" s="52">
        <f t="shared" si="104"/>
        <v>1050.0525</v>
      </c>
      <c r="M275" s="52">
        <f t="shared" si="105"/>
        <v>8050.4025000000001</v>
      </c>
      <c r="N275" s="53">
        <v>0.2</v>
      </c>
      <c r="O275" s="52">
        <f t="shared" si="106"/>
        <v>10063.003124999999</v>
      </c>
      <c r="P275" s="1">
        <f t="shared" si="107"/>
        <v>10060</v>
      </c>
    </row>
    <row r="276" spans="2:16" x14ac:dyDescent="0.25">
      <c r="B276" s="50" t="s">
        <v>2425</v>
      </c>
      <c r="C276" s="51" t="s">
        <v>2447</v>
      </c>
      <c r="D276" s="51" t="s">
        <v>1864</v>
      </c>
      <c r="E276" s="1">
        <v>1810</v>
      </c>
      <c r="F276" s="1">
        <v>0.05</v>
      </c>
      <c r="G276" s="1">
        <v>0.13</v>
      </c>
      <c r="H276" s="1">
        <f t="shared" si="101"/>
        <v>90.5</v>
      </c>
      <c r="I276" s="52">
        <f t="shared" si="102"/>
        <v>247.065</v>
      </c>
      <c r="J276" s="52">
        <f t="shared" si="103"/>
        <v>2147.5650000000001</v>
      </c>
      <c r="K276" s="53">
        <v>0.15</v>
      </c>
      <c r="L276" s="52">
        <f t="shared" si="104"/>
        <v>322.13475</v>
      </c>
      <c r="M276" s="52">
        <f t="shared" si="105"/>
        <v>2469.6997500000002</v>
      </c>
      <c r="N276" s="53">
        <v>0.2</v>
      </c>
      <c r="O276" s="52">
        <f t="shared" si="106"/>
        <v>3087.1246875000002</v>
      </c>
      <c r="P276" s="1">
        <f t="shared" si="107"/>
        <v>3090</v>
      </c>
    </row>
    <row r="277" spans="2:16" x14ac:dyDescent="0.25">
      <c r="B277" s="50" t="s">
        <v>2448</v>
      </c>
      <c r="C277" s="51" t="s">
        <v>2449</v>
      </c>
      <c r="D277" s="51" t="s">
        <v>1864</v>
      </c>
      <c r="E277" s="1">
        <v>7320</v>
      </c>
      <c r="F277" s="1">
        <v>0.05</v>
      </c>
      <c r="G277" s="1">
        <v>0.13</v>
      </c>
      <c r="H277" s="1">
        <f t="shared" si="101"/>
        <v>366</v>
      </c>
      <c r="I277" s="52">
        <f t="shared" si="102"/>
        <v>999.18000000000006</v>
      </c>
      <c r="J277" s="52">
        <f t="shared" si="103"/>
        <v>8685.18</v>
      </c>
      <c r="K277" s="53">
        <v>0.15</v>
      </c>
      <c r="L277" s="52">
        <f t="shared" si="104"/>
        <v>1302.777</v>
      </c>
      <c r="M277" s="52">
        <f t="shared" si="105"/>
        <v>9987.9570000000003</v>
      </c>
      <c r="N277" s="53">
        <v>0.2</v>
      </c>
      <c r="O277" s="52">
        <f t="shared" si="106"/>
        <v>12484.946249999999</v>
      </c>
      <c r="P277" s="1">
        <f t="shared" si="107"/>
        <v>12480</v>
      </c>
    </row>
    <row r="278" spans="2:16" x14ac:dyDescent="0.25">
      <c r="B278" s="50" t="s">
        <v>2302</v>
      </c>
      <c r="C278" s="51" t="s">
        <v>2450</v>
      </c>
      <c r="D278" s="51" t="s">
        <v>1864</v>
      </c>
      <c r="E278" s="1">
        <v>7410</v>
      </c>
      <c r="F278" s="1">
        <v>0.05</v>
      </c>
      <c r="G278" s="1">
        <v>0.13</v>
      </c>
      <c r="H278" s="1">
        <f t="shared" si="101"/>
        <v>370.5</v>
      </c>
      <c r="I278" s="52">
        <f t="shared" si="102"/>
        <v>1011.465</v>
      </c>
      <c r="J278" s="52">
        <f t="shared" si="103"/>
        <v>8791.9650000000001</v>
      </c>
      <c r="K278" s="53">
        <v>0.15</v>
      </c>
      <c r="L278" s="52">
        <f t="shared" si="104"/>
        <v>1318.79475</v>
      </c>
      <c r="M278" s="52">
        <f t="shared" si="105"/>
        <v>10110.759750000001</v>
      </c>
      <c r="N278" s="53">
        <v>0.2</v>
      </c>
      <c r="O278" s="52">
        <f t="shared" si="106"/>
        <v>12638.4496875</v>
      </c>
      <c r="P278" s="1">
        <f t="shared" si="107"/>
        <v>12640</v>
      </c>
    </row>
    <row r="279" spans="2:16" x14ac:dyDescent="0.25">
      <c r="B279" s="125" t="s">
        <v>1820</v>
      </c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</row>
    <row r="280" spans="2:16" x14ac:dyDescent="0.25">
      <c r="B280" s="50" t="s">
        <v>2257</v>
      </c>
      <c r="C280" s="51" t="s">
        <v>2451</v>
      </c>
      <c r="D280" s="51" t="s">
        <v>1820</v>
      </c>
      <c r="E280" s="1">
        <v>1950</v>
      </c>
      <c r="F280" s="1">
        <v>0.05</v>
      </c>
      <c r="G280" s="1">
        <v>0.13</v>
      </c>
      <c r="H280" s="1">
        <f t="shared" ref="H280:H297" si="108">F280*E280</f>
        <v>97.5</v>
      </c>
      <c r="I280" s="52">
        <f t="shared" ref="I280:I297" si="109">G280*(E280+H280)</f>
        <v>266.17500000000001</v>
      </c>
      <c r="J280" s="52">
        <f t="shared" ref="J280:J297" si="110">E280+H280+I280</f>
        <v>2313.6750000000002</v>
      </c>
      <c r="K280" s="53">
        <v>0.15</v>
      </c>
      <c r="L280" s="52">
        <f t="shared" ref="L280:L297" si="111">J280*K280</f>
        <v>347.05125000000004</v>
      </c>
      <c r="M280" s="52">
        <f t="shared" ref="M280:M297" si="112">J280+L280</f>
        <v>2660.7262500000002</v>
      </c>
      <c r="N280" s="53">
        <v>0.2</v>
      </c>
      <c r="O280" s="52">
        <f t="shared" ref="O280:O297" si="113">$M280/(1-N280)</f>
        <v>3325.9078125000001</v>
      </c>
      <c r="P280" s="1">
        <f t="shared" ref="P280:P297" si="114">MROUND(O280,10)</f>
        <v>3330</v>
      </c>
    </row>
    <row r="281" spans="2:16" x14ac:dyDescent="0.25">
      <c r="B281" s="50" t="s">
        <v>2284</v>
      </c>
      <c r="C281" s="51" t="s">
        <v>2452</v>
      </c>
      <c r="D281" s="51" t="s">
        <v>1820</v>
      </c>
      <c r="E281" s="1">
        <v>2500</v>
      </c>
      <c r="F281" s="1">
        <v>0.05</v>
      </c>
      <c r="G281" s="1">
        <v>0.13</v>
      </c>
      <c r="H281" s="1">
        <f t="shared" si="108"/>
        <v>125</v>
      </c>
      <c r="I281" s="52">
        <f t="shared" si="109"/>
        <v>341.25</v>
      </c>
      <c r="J281" s="52">
        <f t="shared" si="110"/>
        <v>2966.25</v>
      </c>
      <c r="K281" s="53">
        <v>0.15</v>
      </c>
      <c r="L281" s="52">
        <f t="shared" si="111"/>
        <v>444.9375</v>
      </c>
      <c r="M281" s="52">
        <f t="shared" si="112"/>
        <v>3411.1875</v>
      </c>
      <c r="N281" s="53">
        <v>0.2</v>
      </c>
      <c r="O281" s="52">
        <f t="shared" si="113"/>
        <v>4263.984375</v>
      </c>
      <c r="P281" s="1">
        <f t="shared" si="114"/>
        <v>4260</v>
      </c>
    </row>
    <row r="282" spans="2:16" x14ac:dyDescent="0.25">
      <c r="B282" s="50" t="s">
        <v>2286</v>
      </c>
      <c r="C282" s="51" t="s">
        <v>2453</v>
      </c>
      <c r="D282" s="51" t="s">
        <v>1820</v>
      </c>
      <c r="E282" s="1">
        <v>2980</v>
      </c>
      <c r="F282" s="1">
        <v>0.05</v>
      </c>
      <c r="G282" s="1">
        <v>0.13</v>
      </c>
      <c r="H282" s="1">
        <f t="shared" si="108"/>
        <v>149</v>
      </c>
      <c r="I282" s="52">
        <f t="shared" si="109"/>
        <v>406.77000000000004</v>
      </c>
      <c r="J282" s="52">
        <f t="shared" si="110"/>
        <v>3535.77</v>
      </c>
      <c r="K282" s="53">
        <v>0.15</v>
      </c>
      <c r="L282" s="52">
        <f t="shared" si="111"/>
        <v>530.3655</v>
      </c>
      <c r="M282" s="52">
        <f t="shared" si="112"/>
        <v>4066.1354999999999</v>
      </c>
      <c r="N282" s="53">
        <v>0.2</v>
      </c>
      <c r="O282" s="52">
        <f t="shared" si="113"/>
        <v>5082.6693749999995</v>
      </c>
      <c r="P282" s="1">
        <f t="shared" si="114"/>
        <v>5080</v>
      </c>
    </row>
    <row r="283" spans="2:16" x14ac:dyDescent="0.25">
      <c r="B283" s="50" t="s">
        <v>2206</v>
      </c>
      <c r="C283" s="51" t="s">
        <v>2454</v>
      </c>
      <c r="D283" s="51" t="s">
        <v>1820</v>
      </c>
      <c r="E283" s="1">
        <v>6850</v>
      </c>
      <c r="F283" s="1">
        <v>0.05</v>
      </c>
      <c r="G283" s="1">
        <v>0.13</v>
      </c>
      <c r="H283" s="1">
        <f t="shared" si="108"/>
        <v>342.5</v>
      </c>
      <c r="I283" s="52">
        <f t="shared" si="109"/>
        <v>935.02499999999998</v>
      </c>
      <c r="J283" s="52">
        <f t="shared" si="110"/>
        <v>8127.5249999999996</v>
      </c>
      <c r="K283" s="53">
        <v>0.15</v>
      </c>
      <c r="L283" s="52">
        <f t="shared" si="111"/>
        <v>1219.1287499999999</v>
      </c>
      <c r="M283" s="52">
        <f t="shared" si="112"/>
        <v>9346.6537499999995</v>
      </c>
      <c r="N283" s="53">
        <v>0.2</v>
      </c>
      <c r="O283" s="52">
        <f t="shared" si="113"/>
        <v>11683.317187499999</v>
      </c>
      <c r="P283" s="1">
        <f t="shared" si="114"/>
        <v>11680</v>
      </c>
    </row>
    <row r="284" spans="2:16" x14ac:dyDescent="0.25">
      <c r="B284" s="54" t="s">
        <v>2435</v>
      </c>
      <c r="C284" s="1" t="s">
        <v>2455</v>
      </c>
      <c r="D284" s="1" t="s">
        <v>1820</v>
      </c>
      <c r="E284" s="1">
        <v>7160</v>
      </c>
      <c r="F284" s="1">
        <v>0.05</v>
      </c>
      <c r="G284" s="1">
        <v>0.13</v>
      </c>
      <c r="H284" s="1">
        <f t="shared" si="108"/>
        <v>358</v>
      </c>
      <c r="I284" s="52">
        <f t="shared" si="109"/>
        <v>977.34</v>
      </c>
      <c r="J284" s="52">
        <f t="shared" si="110"/>
        <v>8495.34</v>
      </c>
      <c r="K284" s="53">
        <v>0.15</v>
      </c>
      <c r="L284" s="52">
        <f t="shared" si="111"/>
        <v>1274.3009999999999</v>
      </c>
      <c r="M284" s="52">
        <f t="shared" si="112"/>
        <v>9769.6409999999996</v>
      </c>
      <c r="N284" s="53">
        <v>0.2</v>
      </c>
      <c r="O284" s="52">
        <f t="shared" si="113"/>
        <v>12212.051249999999</v>
      </c>
      <c r="P284" s="1">
        <f t="shared" si="114"/>
        <v>12210</v>
      </c>
    </row>
    <row r="285" spans="2:16" x14ac:dyDescent="0.25">
      <c r="B285" s="50" t="s">
        <v>2413</v>
      </c>
      <c r="C285" s="51" t="s">
        <v>2456</v>
      </c>
      <c r="D285" s="51" t="s">
        <v>1820</v>
      </c>
      <c r="E285" s="1">
        <v>5220</v>
      </c>
      <c r="F285" s="1">
        <v>0.05</v>
      </c>
      <c r="G285" s="1">
        <v>0.13</v>
      </c>
      <c r="H285" s="1">
        <f t="shared" si="108"/>
        <v>261</v>
      </c>
      <c r="I285" s="52">
        <f t="shared" si="109"/>
        <v>712.53</v>
      </c>
      <c r="J285" s="52">
        <f t="shared" si="110"/>
        <v>6193.53</v>
      </c>
      <c r="K285" s="53">
        <v>0.15</v>
      </c>
      <c r="L285" s="52">
        <f t="shared" si="111"/>
        <v>929.02949999999987</v>
      </c>
      <c r="M285" s="52">
        <f t="shared" si="112"/>
        <v>7122.5594999999994</v>
      </c>
      <c r="N285" s="53">
        <v>0.2</v>
      </c>
      <c r="O285" s="52">
        <f t="shared" si="113"/>
        <v>8903.1993749999983</v>
      </c>
      <c r="P285" s="1">
        <f t="shared" si="114"/>
        <v>8900</v>
      </c>
    </row>
    <row r="286" spans="2:16" x14ac:dyDescent="0.25">
      <c r="B286" s="50" t="s">
        <v>2438</v>
      </c>
      <c r="C286" s="51" t="s">
        <v>2457</v>
      </c>
      <c r="D286" s="51" t="s">
        <v>1820</v>
      </c>
      <c r="E286" s="1">
        <v>3370</v>
      </c>
      <c r="F286" s="1">
        <v>0.05</v>
      </c>
      <c r="G286" s="1">
        <v>0.13</v>
      </c>
      <c r="H286" s="1">
        <f t="shared" si="108"/>
        <v>168.5</v>
      </c>
      <c r="I286" s="52">
        <f t="shared" si="109"/>
        <v>460.005</v>
      </c>
      <c r="J286" s="52">
        <f t="shared" si="110"/>
        <v>3998.5050000000001</v>
      </c>
      <c r="K286" s="53">
        <v>0.15</v>
      </c>
      <c r="L286" s="52">
        <f t="shared" si="111"/>
        <v>599.77575000000002</v>
      </c>
      <c r="M286" s="52">
        <f t="shared" si="112"/>
        <v>4598.2807499999999</v>
      </c>
      <c r="N286" s="53">
        <v>0.2</v>
      </c>
      <c r="O286" s="52">
        <f t="shared" si="113"/>
        <v>5747.8509374999994</v>
      </c>
      <c r="P286" s="1">
        <f t="shared" si="114"/>
        <v>5750</v>
      </c>
    </row>
    <row r="287" spans="2:16" x14ac:dyDescent="0.25">
      <c r="B287" s="54" t="s">
        <v>2440</v>
      </c>
      <c r="C287" s="1" t="s">
        <v>2458</v>
      </c>
      <c r="D287" s="1" t="s">
        <v>1820</v>
      </c>
      <c r="E287" s="1">
        <v>1720</v>
      </c>
      <c r="F287" s="1">
        <v>0.05</v>
      </c>
      <c r="G287" s="1">
        <v>0.13</v>
      </c>
      <c r="H287" s="1">
        <f t="shared" si="108"/>
        <v>86</v>
      </c>
      <c r="I287" s="52">
        <f t="shared" si="109"/>
        <v>234.78</v>
      </c>
      <c r="J287" s="52">
        <f t="shared" si="110"/>
        <v>2040.78</v>
      </c>
      <c r="K287" s="53">
        <v>0.15</v>
      </c>
      <c r="L287" s="52">
        <f t="shared" si="111"/>
        <v>306.11699999999996</v>
      </c>
      <c r="M287" s="52">
        <f t="shared" si="112"/>
        <v>2346.8969999999999</v>
      </c>
      <c r="N287" s="53">
        <v>0.2</v>
      </c>
      <c r="O287" s="52">
        <f t="shared" si="113"/>
        <v>2933.6212499999997</v>
      </c>
      <c r="P287" s="1">
        <f t="shared" si="114"/>
        <v>2930</v>
      </c>
    </row>
    <row r="288" spans="2:16" x14ac:dyDescent="0.25">
      <c r="B288" s="54" t="s">
        <v>2442</v>
      </c>
      <c r="C288" s="1" t="s">
        <v>2459</v>
      </c>
      <c r="D288" s="1" t="s">
        <v>1820</v>
      </c>
      <c r="E288" s="1">
        <v>1820</v>
      </c>
      <c r="F288" s="1">
        <v>0.05</v>
      </c>
      <c r="G288" s="1">
        <v>0.13</v>
      </c>
      <c r="H288" s="1">
        <f t="shared" si="108"/>
        <v>91</v>
      </c>
      <c r="I288" s="52">
        <f t="shared" si="109"/>
        <v>248.43</v>
      </c>
      <c r="J288" s="52">
        <f t="shared" si="110"/>
        <v>2159.4299999999998</v>
      </c>
      <c r="K288" s="53">
        <v>0.15</v>
      </c>
      <c r="L288" s="52">
        <f t="shared" si="111"/>
        <v>323.91449999999998</v>
      </c>
      <c r="M288" s="52">
        <f t="shared" si="112"/>
        <v>2483.3444999999997</v>
      </c>
      <c r="N288" s="53">
        <v>0.2</v>
      </c>
      <c r="O288" s="52">
        <f t="shared" si="113"/>
        <v>3104.1806249999995</v>
      </c>
      <c r="P288" s="1">
        <f t="shared" si="114"/>
        <v>3100</v>
      </c>
    </row>
    <row r="289" spans="2:16" x14ac:dyDescent="0.25">
      <c r="B289" s="54" t="s">
        <v>2294</v>
      </c>
      <c r="C289" s="1" t="s">
        <v>2460</v>
      </c>
      <c r="D289" s="1" t="s">
        <v>1820</v>
      </c>
      <c r="E289" s="1">
        <v>2790</v>
      </c>
      <c r="F289" s="1">
        <v>0.05</v>
      </c>
      <c r="G289" s="1">
        <v>0.13</v>
      </c>
      <c r="H289" s="1">
        <f t="shared" si="108"/>
        <v>139.5</v>
      </c>
      <c r="I289" s="52">
        <f t="shared" si="109"/>
        <v>380.83500000000004</v>
      </c>
      <c r="J289" s="52">
        <f t="shared" si="110"/>
        <v>3310.335</v>
      </c>
      <c r="K289" s="53">
        <v>0.15</v>
      </c>
      <c r="L289" s="52">
        <f t="shared" si="111"/>
        <v>496.55025000000001</v>
      </c>
      <c r="M289" s="52">
        <f t="shared" si="112"/>
        <v>3806.8852500000003</v>
      </c>
      <c r="N289" s="53">
        <v>0.2</v>
      </c>
      <c r="O289" s="52">
        <f t="shared" si="113"/>
        <v>4758.6065625000001</v>
      </c>
      <c r="P289" s="1">
        <f t="shared" si="114"/>
        <v>4760</v>
      </c>
    </row>
    <row r="290" spans="2:16" x14ac:dyDescent="0.25">
      <c r="B290" s="54" t="s">
        <v>2461</v>
      </c>
      <c r="C290" s="1" t="s">
        <v>2462</v>
      </c>
      <c r="D290" s="1" t="s">
        <v>1820</v>
      </c>
      <c r="E290" s="1">
        <v>4620</v>
      </c>
      <c r="F290" s="1">
        <v>0.05</v>
      </c>
      <c r="G290" s="1">
        <v>0.13</v>
      </c>
      <c r="H290" s="1">
        <f t="shared" si="108"/>
        <v>231</v>
      </c>
      <c r="I290" s="52">
        <f t="shared" si="109"/>
        <v>630.63</v>
      </c>
      <c r="J290" s="52">
        <f t="shared" si="110"/>
        <v>5481.63</v>
      </c>
      <c r="K290" s="53">
        <v>0.15</v>
      </c>
      <c r="L290" s="52">
        <f t="shared" si="111"/>
        <v>822.24450000000002</v>
      </c>
      <c r="M290" s="52">
        <f t="shared" si="112"/>
        <v>6303.8744999999999</v>
      </c>
      <c r="N290" s="53">
        <v>0.2</v>
      </c>
      <c r="O290" s="52">
        <f t="shared" si="113"/>
        <v>7879.8431249999994</v>
      </c>
      <c r="P290" s="1">
        <f t="shared" si="114"/>
        <v>7880</v>
      </c>
    </row>
    <row r="291" spans="2:16" x14ac:dyDescent="0.25">
      <c r="B291" s="50" t="s">
        <v>2420</v>
      </c>
      <c r="C291" s="51" t="s">
        <v>2463</v>
      </c>
      <c r="D291" s="51" t="s">
        <v>1820</v>
      </c>
      <c r="E291" s="1">
        <v>3100</v>
      </c>
      <c r="F291" s="1">
        <v>0.05</v>
      </c>
      <c r="G291" s="1">
        <v>0.13</v>
      </c>
      <c r="H291" s="1">
        <f t="shared" si="108"/>
        <v>155</v>
      </c>
      <c r="I291" s="52">
        <f t="shared" si="109"/>
        <v>423.15000000000003</v>
      </c>
      <c r="J291" s="52">
        <f t="shared" si="110"/>
        <v>3678.15</v>
      </c>
      <c r="K291" s="53">
        <v>0.15</v>
      </c>
      <c r="L291" s="52">
        <f t="shared" si="111"/>
        <v>551.72249999999997</v>
      </c>
      <c r="M291" s="52">
        <f t="shared" si="112"/>
        <v>4229.8725000000004</v>
      </c>
      <c r="N291" s="53">
        <v>0.2</v>
      </c>
      <c r="O291" s="52">
        <f t="shared" si="113"/>
        <v>5287.3406249999998</v>
      </c>
      <c r="P291" s="1">
        <f t="shared" si="114"/>
        <v>5290</v>
      </c>
    </row>
    <row r="292" spans="2:16" x14ac:dyDescent="0.25">
      <c r="B292" s="50" t="s">
        <v>2387</v>
      </c>
      <c r="C292" s="51" t="s">
        <v>2464</v>
      </c>
      <c r="D292" s="51" t="s">
        <v>1820</v>
      </c>
      <c r="E292" s="1">
        <v>6530</v>
      </c>
      <c r="F292" s="1">
        <v>0.05</v>
      </c>
      <c r="G292" s="1">
        <v>0.13</v>
      </c>
      <c r="H292" s="1">
        <f t="shared" si="108"/>
        <v>326.5</v>
      </c>
      <c r="I292" s="52">
        <f t="shared" si="109"/>
        <v>891.34500000000003</v>
      </c>
      <c r="J292" s="52">
        <f t="shared" si="110"/>
        <v>7747.8450000000003</v>
      </c>
      <c r="K292" s="53">
        <v>0.15</v>
      </c>
      <c r="L292" s="52">
        <f t="shared" si="111"/>
        <v>1162.1767500000001</v>
      </c>
      <c r="M292" s="52">
        <f t="shared" si="112"/>
        <v>8910.0217499999999</v>
      </c>
      <c r="N292" s="53">
        <v>0.2</v>
      </c>
      <c r="O292" s="52">
        <f t="shared" si="113"/>
        <v>11137.5271875</v>
      </c>
      <c r="P292" s="1">
        <f t="shared" si="114"/>
        <v>11140</v>
      </c>
    </row>
    <row r="293" spans="2:16" x14ac:dyDescent="0.25">
      <c r="B293" s="50" t="s">
        <v>2425</v>
      </c>
      <c r="C293" s="51" t="s">
        <v>2465</v>
      </c>
      <c r="D293" s="51" t="s">
        <v>1820</v>
      </c>
      <c r="E293" s="1">
        <v>1900</v>
      </c>
      <c r="F293" s="1">
        <v>0.05</v>
      </c>
      <c r="G293" s="1">
        <v>0.13</v>
      </c>
      <c r="H293" s="1">
        <f t="shared" si="108"/>
        <v>95</v>
      </c>
      <c r="I293" s="52">
        <f t="shared" si="109"/>
        <v>259.35000000000002</v>
      </c>
      <c r="J293" s="52">
        <f t="shared" si="110"/>
        <v>2254.35</v>
      </c>
      <c r="K293" s="53">
        <v>0.15</v>
      </c>
      <c r="L293" s="52">
        <f t="shared" si="111"/>
        <v>338.15249999999997</v>
      </c>
      <c r="M293" s="52">
        <f t="shared" si="112"/>
        <v>2592.5025000000001</v>
      </c>
      <c r="N293" s="53">
        <v>0.2</v>
      </c>
      <c r="O293" s="52">
        <f t="shared" si="113"/>
        <v>3240.6281249999997</v>
      </c>
      <c r="P293" s="1">
        <f t="shared" si="114"/>
        <v>3240</v>
      </c>
    </row>
    <row r="294" spans="2:16" x14ac:dyDescent="0.25">
      <c r="B294" s="50" t="s">
        <v>2466</v>
      </c>
      <c r="C294" s="51" t="s">
        <v>2467</v>
      </c>
      <c r="D294" s="51" t="s">
        <v>1820</v>
      </c>
      <c r="E294" s="1">
        <v>2790</v>
      </c>
      <c r="F294" s="1">
        <v>0.05</v>
      </c>
      <c r="G294" s="1">
        <v>0.13</v>
      </c>
      <c r="H294" s="1">
        <f t="shared" si="108"/>
        <v>139.5</v>
      </c>
      <c r="I294" s="52">
        <f t="shared" si="109"/>
        <v>380.83500000000004</v>
      </c>
      <c r="J294" s="52">
        <f t="shared" si="110"/>
        <v>3310.335</v>
      </c>
      <c r="K294" s="53">
        <v>0.15</v>
      </c>
      <c r="L294" s="52">
        <f t="shared" si="111"/>
        <v>496.55025000000001</v>
      </c>
      <c r="M294" s="52">
        <f t="shared" si="112"/>
        <v>3806.8852500000003</v>
      </c>
      <c r="N294" s="53">
        <v>0.2</v>
      </c>
      <c r="O294" s="52">
        <f t="shared" si="113"/>
        <v>4758.6065625000001</v>
      </c>
      <c r="P294" s="1">
        <f t="shared" si="114"/>
        <v>4760</v>
      </c>
    </row>
    <row r="295" spans="2:16" x14ac:dyDescent="0.25">
      <c r="B295" s="50" t="s">
        <v>2468</v>
      </c>
      <c r="C295" s="51" t="s">
        <v>2469</v>
      </c>
      <c r="D295" s="51" t="s">
        <v>1820</v>
      </c>
      <c r="E295" s="1">
        <v>7620</v>
      </c>
      <c r="F295" s="1">
        <v>0.05</v>
      </c>
      <c r="G295" s="1">
        <v>0.13</v>
      </c>
      <c r="H295" s="1">
        <f t="shared" si="108"/>
        <v>381</v>
      </c>
      <c r="I295" s="52">
        <f t="shared" si="109"/>
        <v>1040.1300000000001</v>
      </c>
      <c r="J295" s="52">
        <f t="shared" si="110"/>
        <v>9041.130000000001</v>
      </c>
      <c r="K295" s="53">
        <v>0.15</v>
      </c>
      <c r="L295" s="52">
        <f t="shared" si="111"/>
        <v>1356.1695000000002</v>
      </c>
      <c r="M295" s="52">
        <f t="shared" si="112"/>
        <v>10397.299500000001</v>
      </c>
      <c r="N295" s="53">
        <v>0.2</v>
      </c>
      <c r="O295" s="52">
        <f t="shared" si="113"/>
        <v>12996.624375000001</v>
      </c>
      <c r="P295" s="1">
        <f t="shared" si="114"/>
        <v>13000</v>
      </c>
    </row>
    <row r="296" spans="2:16" x14ac:dyDescent="0.25">
      <c r="B296" s="50" t="s">
        <v>2304</v>
      </c>
      <c r="C296" s="51" t="s">
        <v>2470</v>
      </c>
      <c r="D296" s="51" t="s">
        <v>1820</v>
      </c>
      <c r="E296" s="1">
        <v>7300</v>
      </c>
      <c r="F296" s="1">
        <v>0.05</v>
      </c>
      <c r="G296" s="1">
        <v>0.13</v>
      </c>
      <c r="H296" s="1">
        <f t="shared" si="108"/>
        <v>365</v>
      </c>
      <c r="I296" s="52">
        <f t="shared" si="109"/>
        <v>996.45</v>
      </c>
      <c r="J296" s="52">
        <f t="shared" si="110"/>
        <v>8661.4500000000007</v>
      </c>
      <c r="K296" s="53">
        <v>0.15</v>
      </c>
      <c r="L296" s="52">
        <f t="shared" si="111"/>
        <v>1299.2175</v>
      </c>
      <c r="M296" s="52">
        <f t="shared" si="112"/>
        <v>9960.6675000000014</v>
      </c>
      <c r="N296" s="53">
        <v>0.2</v>
      </c>
      <c r="O296" s="52">
        <f t="shared" si="113"/>
        <v>12450.834375</v>
      </c>
      <c r="P296" s="1">
        <f t="shared" si="114"/>
        <v>12450</v>
      </c>
    </row>
    <row r="297" spans="2:16" x14ac:dyDescent="0.25">
      <c r="B297" s="50" t="s">
        <v>2429</v>
      </c>
      <c r="C297" s="51" t="s">
        <v>2471</v>
      </c>
      <c r="D297" s="51" t="s">
        <v>1820</v>
      </c>
      <c r="E297" s="1">
        <v>8260</v>
      </c>
      <c r="F297" s="1">
        <v>0.05</v>
      </c>
      <c r="G297" s="1">
        <v>0.13</v>
      </c>
      <c r="H297" s="1">
        <f t="shared" si="108"/>
        <v>413</v>
      </c>
      <c r="I297" s="52">
        <f t="shared" si="109"/>
        <v>1127.49</v>
      </c>
      <c r="J297" s="52">
        <f t="shared" si="110"/>
        <v>9800.49</v>
      </c>
      <c r="K297" s="53">
        <v>0.15</v>
      </c>
      <c r="L297" s="52">
        <f t="shared" si="111"/>
        <v>1470.0735</v>
      </c>
      <c r="M297" s="52">
        <f t="shared" si="112"/>
        <v>11270.5635</v>
      </c>
      <c r="N297" s="53">
        <v>0.2</v>
      </c>
      <c r="O297" s="52">
        <f t="shared" si="113"/>
        <v>14088.204374999999</v>
      </c>
      <c r="P297" s="1">
        <f t="shared" si="114"/>
        <v>14090</v>
      </c>
    </row>
    <row r="298" spans="2:16" x14ac:dyDescent="0.25">
      <c r="B298" s="125" t="s">
        <v>2472</v>
      </c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</row>
    <row r="299" spans="2:16" x14ac:dyDescent="0.25">
      <c r="B299" s="50" t="s">
        <v>2257</v>
      </c>
      <c r="C299" s="51" t="s">
        <v>2473</v>
      </c>
      <c r="D299" s="51" t="s">
        <v>2472</v>
      </c>
      <c r="E299" s="1">
        <v>2700</v>
      </c>
      <c r="F299" s="1">
        <v>0.05</v>
      </c>
      <c r="G299" s="1">
        <v>0.13</v>
      </c>
      <c r="H299" s="1">
        <f t="shared" ref="H299:H311" si="115">F299*E299</f>
        <v>135</v>
      </c>
      <c r="I299" s="52">
        <f t="shared" ref="I299:I311" si="116">G299*(E299+H299)</f>
        <v>368.55</v>
      </c>
      <c r="J299" s="52">
        <f t="shared" ref="J299:J311" si="117">E299+H299+I299</f>
        <v>3203.55</v>
      </c>
      <c r="K299" s="53">
        <v>0.15</v>
      </c>
      <c r="L299" s="52">
        <f t="shared" ref="L299:L311" si="118">J299*K299</f>
        <v>480.53250000000003</v>
      </c>
      <c r="M299" s="52">
        <f t="shared" ref="M299:M311" si="119">J299+L299</f>
        <v>3684.0825000000004</v>
      </c>
      <c r="N299" s="53">
        <v>0.2</v>
      </c>
      <c r="O299" s="52">
        <f t="shared" ref="O299:O311" si="120">$M299/(1-N299)</f>
        <v>4605.1031250000005</v>
      </c>
      <c r="P299" s="1">
        <f t="shared" ref="P299:P311" si="121">MROUND(O299,10)</f>
        <v>4610</v>
      </c>
    </row>
    <row r="300" spans="2:16" x14ac:dyDescent="0.25">
      <c r="B300" s="50" t="s">
        <v>2284</v>
      </c>
      <c r="C300" s="51" t="s">
        <v>2474</v>
      </c>
      <c r="D300" s="51" t="s">
        <v>2472</v>
      </c>
      <c r="E300" s="1">
        <v>3340</v>
      </c>
      <c r="F300" s="1">
        <v>0.05</v>
      </c>
      <c r="G300" s="1">
        <v>0.13</v>
      </c>
      <c r="H300" s="1">
        <f t="shared" si="115"/>
        <v>167</v>
      </c>
      <c r="I300" s="52">
        <f t="shared" si="116"/>
        <v>455.91</v>
      </c>
      <c r="J300" s="52">
        <f t="shared" si="117"/>
        <v>3962.91</v>
      </c>
      <c r="K300" s="53">
        <v>0.15</v>
      </c>
      <c r="L300" s="52">
        <f t="shared" si="118"/>
        <v>594.43649999999991</v>
      </c>
      <c r="M300" s="52">
        <f t="shared" si="119"/>
        <v>4557.3464999999997</v>
      </c>
      <c r="N300" s="53">
        <v>0.2</v>
      </c>
      <c r="O300" s="52">
        <f t="shared" si="120"/>
        <v>5696.6831249999996</v>
      </c>
      <c r="P300" s="1">
        <f t="shared" si="121"/>
        <v>5700</v>
      </c>
    </row>
    <row r="301" spans="2:16" x14ac:dyDescent="0.25">
      <c r="B301" s="50" t="s">
        <v>2206</v>
      </c>
      <c r="C301" s="51" t="s">
        <v>2475</v>
      </c>
      <c r="D301" s="51" t="s">
        <v>2472</v>
      </c>
      <c r="E301" s="1">
        <v>5650</v>
      </c>
      <c r="F301" s="1">
        <v>0.05</v>
      </c>
      <c r="G301" s="1">
        <v>0.13</v>
      </c>
      <c r="H301" s="1">
        <f t="shared" si="115"/>
        <v>282.5</v>
      </c>
      <c r="I301" s="52">
        <f t="shared" si="116"/>
        <v>771.22500000000002</v>
      </c>
      <c r="J301" s="52">
        <f t="shared" si="117"/>
        <v>6703.7250000000004</v>
      </c>
      <c r="K301" s="53">
        <v>0.15</v>
      </c>
      <c r="L301" s="52">
        <f t="shared" si="118"/>
        <v>1005.55875</v>
      </c>
      <c r="M301" s="52">
        <f t="shared" si="119"/>
        <v>7709.2837500000005</v>
      </c>
      <c r="N301" s="53">
        <v>0.2</v>
      </c>
      <c r="O301" s="52">
        <f t="shared" si="120"/>
        <v>9636.6046874999993</v>
      </c>
      <c r="P301" s="1">
        <f t="shared" si="121"/>
        <v>9640</v>
      </c>
    </row>
    <row r="302" spans="2:16" x14ac:dyDescent="0.25">
      <c r="B302" s="50" t="s">
        <v>2413</v>
      </c>
      <c r="C302" s="51" t="s">
        <v>2476</v>
      </c>
      <c r="D302" s="51" t="s">
        <v>2472</v>
      </c>
      <c r="E302" s="1">
        <v>5260</v>
      </c>
      <c r="F302" s="1">
        <v>0.05</v>
      </c>
      <c r="G302" s="1">
        <v>0.13</v>
      </c>
      <c r="H302" s="1">
        <f t="shared" si="115"/>
        <v>263</v>
      </c>
      <c r="I302" s="52">
        <f t="shared" si="116"/>
        <v>717.99</v>
      </c>
      <c r="J302" s="52">
        <f t="shared" si="117"/>
        <v>6240.99</v>
      </c>
      <c r="K302" s="53">
        <v>0.15</v>
      </c>
      <c r="L302" s="52">
        <f t="shared" si="118"/>
        <v>936.1484999999999</v>
      </c>
      <c r="M302" s="52">
        <f t="shared" si="119"/>
        <v>7177.1385</v>
      </c>
      <c r="N302" s="53">
        <v>0.2</v>
      </c>
      <c r="O302" s="52">
        <f t="shared" si="120"/>
        <v>8971.4231249999993</v>
      </c>
      <c r="P302" s="1">
        <f t="shared" si="121"/>
        <v>8970</v>
      </c>
    </row>
    <row r="303" spans="2:16" x14ac:dyDescent="0.25">
      <c r="B303" s="50" t="s">
        <v>2438</v>
      </c>
      <c r="C303" s="51" t="s">
        <v>2477</v>
      </c>
      <c r="D303" s="51" t="s">
        <v>2472</v>
      </c>
      <c r="E303" s="1">
        <v>3260</v>
      </c>
      <c r="F303" s="1">
        <v>0.05</v>
      </c>
      <c r="G303" s="1">
        <v>0.13</v>
      </c>
      <c r="H303" s="1">
        <f t="shared" si="115"/>
        <v>163</v>
      </c>
      <c r="I303" s="52">
        <f t="shared" si="116"/>
        <v>444.99</v>
      </c>
      <c r="J303" s="52">
        <f t="shared" si="117"/>
        <v>3867.99</v>
      </c>
      <c r="K303" s="53">
        <v>0.15</v>
      </c>
      <c r="L303" s="52">
        <f t="shared" si="118"/>
        <v>580.19849999999997</v>
      </c>
      <c r="M303" s="52">
        <f t="shared" si="119"/>
        <v>4448.1885000000002</v>
      </c>
      <c r="N303" s="53">
        <v>0.2</v>
      </c>
      <c r="O303" s="52">
        <f t="shared" si="120"/>
        <v>5560.2356250000003</v>
      </c>
      <c r="P303" s="1">
        <f t="shared" si="121"/>
        <v>5560</v>
      </c>
    </row>
    <row r="304" spans="2:16" x14ac:dyDescent="0.25">
      <c r="B304" s="54" t="s">
        <v>2440</v>
      </c>
      <c r="C304" s="1" t="s">
        <v>2478</v>
      </c>
      <c r="D304" s="1" t="s">
        <v>2472</v>
      </c>
      <c r="E304" s="1">
        <v>1730</v>
      </c>
      <c r="F304" s="1">
        <v>0.05</v>
      </c>
      <c r="G304" s="1">
        <v>0.13</v>
      </c>
      <c r="H304" s="1">
        <f t="shared" si="115"/>
        <v>86.5</v>
      </c>
      <c r="I304" s="52">
        <f t="shared" si="116"/>
        <v>236.14500000000001</v>
      </c>
      <c r="J304" s="52">
        <f t="shared" si="117"/>
        <v>2052.645</v>
      </c>
      <c r="K304" s="53">
        <v>0.15</v>
      </c>
      <c r="L304" s="52">
        <f t="shared" si="118"/>
        <v>307.89675</v>
      </c>
      <c r="M304" s="52">
        <f t="shared" si="119"/>
        <v>2360.5417499999999</v>
      </c>
      <c r="N304" s="53">
        <v>0.2</v>
      </c>
      <c r="O304" s="52">
        <f t="shared" si="120"/>
        <v>2950.6771874999995</v>
      </c>
      <c r="P304" s="1">
        <f t="shared" si="121"/>
        <v>2950</v>
      </c>
    </row>
    <row r="305" spans="2:16" x14ac:dyDescent="0.25">
      <c r="B305" s="54" t="s">
        <v>2442</v>
      </c>
      <c r="C305" s="1" t="s">
        <v>2479</v>
      </c>
      <c r="D305" s="1" t="s">
        <v>2472</v>
      </c>
      <c r="E305" s="1">
        <v>1840</v>
      </c>
      <c r="F305" s="1">
        <v>0.05</v>
      </c>
      <c r="G305" s="1">
        <v>0.13</v>
      </c>
      <c r="H305" s="1">
        <f t="shared" si="115"/>
        <v>92</v>
      </c>
      <c r="I305" s="52">
        <f t="shared" si="116"/>
        <v>251.16</v>
      </c>
      <c r="J305" s="52">
        <f t="shared" si="117"/>
        <v>2183.16</v>
      </c>
      <c r="K305" s="53">
        <v>0.15</v>
      </c>
      <c r="L305" s="52">
        <f t="shared" si="118"/>
        <v>327.47399999999999</v>
      </c>
      <c r="M305" s="52">
        <f t="shared" si="119"/>
        <v>2510.634</v>
      </c>
      <c r="N305" s="53">
        <v>0.2</v>
      </c>
      <c r="O305" s="52">
        <f t="shared" si="120"/>
        <v>3138.2925</v>
      </c>
      <c r="P305" s="1">
        <f t="shared" si="121"/>
        <v>3140</v>
      </c>
    </row>
    <row r="306" spans="2:16" x14ac:dyDescent="0.25">
      <c r="B306" s="50" t="s">
        <v>2420</v>
      </c>
      <c r="C306" s="51" t="s">
        <v>2480</v>
      </c>
      <c r="D306" s="51" t="s">
        <v>2472</v>
      </c>
      <c r="E306" s="1">
        <v>2920</v>
      </c>
      <c r="F306" s="1">
        <v>0.05</v>
      </c>
      <c r="G306" s="1">
        <v>0.13</v>
      </c>
      <c r="H306" s="1">
        <f t="shared" si="115"/>
        <v>146</v>
      </c>
      <c r="I306" s="52">
        <f t="shared" si="116"/>
        <v>398.58000000000004</v>
      </c>
      <c r="J306" s="52">
        <f t="shared" si="117"/>
        <v>3464.58</v>
      </c>
      <c r="K306" s="53">
        <v>0.15</v>
      </c>
      <c r="L306" s="52">
        <f t="shared" si="118"/>
        <v>519.68700000000001</v>
      </c>
      <c r="M306" s="52">
        <f t="shared" si="119"/>
        <v>3984.2669999999998</v>
      </c>
      <c r="N306" s="53">
        <v>0.2</v>
      </c>
      <c r="O306" s="52">
        <f t="shared" si="120"/>
        <v>4980.3337499999998</v>
      </c>
      <c r="P306" s="1">
        <f t="shared" si="121"/>
        <v>4980</v>
      </c>
    </row>
    <row r="307" spans="2:16" x14ac:dyDescent="0.25">
      <c r="B307" s="50" t="s">
        <v>2387</v>
      </c>
      <c r="C307" s="51" t="s">
        <v>2481</v>
      </c>
      <c r="D307" s="51" t="s">
        <v>2472</v>
      </c>
      <c r="E307" s="1">
        <v>5840</v>
      </c>
      <c r="F307" s="1">
        <v>0.05</v>
      </c>
      <c r="G307" s="1">
        <v>0.13</v>
      </c>
      <c r="H307" s="1">
        <f t="shared" si="115"/>
        <v>292</v>
      </c>
      <c r="I307" s="52">
        <f t="shared" si="116"/>
        <v>797.16000000000008</v>
      </c>
      <c r="J307" s="52">
        <f t="shared" si="117"/>
        <v>6929.16</v>
      </c>
      <c r="K307" s="53">
        <v>0.15</v>
      </c>
      <c r="L307" s="52">
        <f t="shared" si="118"/>
        <v>1039.374</v>
      </c>
      <c r="M307" s="52">
        <f t="shared" si="119"/>
        <v>7968.5339999999997</v>
      </c>
      <c r="N307" s="53">
        <v>0.2</v>
      </c>
      <c r="O307" s="52">
        <f t="shared" si="120"/>
        <v>9960.6674999999996</v>
      </c>
      <c r="P307" s="1">
        <f t="shared" si="121"/>
        <v>9960</v>
      </c>
    </row>
    <row r="308" spans="2:16" x14ac:dyDescent="0.25">
      <c r="B308" s="50" t="s">
        <v>2425</v>
      </c>
      <c r="C308" s="51" t="s">
        <v>2482</v>
      </c>
      <c r="D308" s="51" t="s">
        <v>2472</v>
      </c>
      <c r="E308" s="1">
        <v>1830</v>
      </c>
      <c r="F308" s="1">
        <v>0.05</v>
      </c>
      <c r="G308" s="1">
        <v>0.13</v>
      </c>
      <c r="H308" s="1">
        <f t="shared" si="115"/>
        <v>91.5</v>
      </c>
      <c r="I308" s="52">
        <f t="shared" si="116"/>
        <v>249.79500000000002</v>
      </c>
      <c r="J308" s="52">
        <f t="shared" si="117"/>
        <v>2171.2950000000001</v>
      </c>
      <c r="K308" s="53">
        <v>0.15</v>
      </c>
      <c r="L308" s="52">
        <f t="shared" si="118"/>
        <v>325.69425000000001</v>
      </c>
      <c r="M308" s="52">
        <f t="shared" si="119"/>
        <v>2496.9892500000001</v>
      </c>
      <c r="N308" s="53">
        <v>0.2</v>
      </c>
      <c r="O308" s="52">
        <f t="shared" si="120"/>
        <v>3121.2365624999998</v>
      </c>
      <c r="P308" s="1">
        <f t="shared" si="121"/>
        <v>3120</v>
      </c>
    </row>
    <row r="309" spans="2:16" x14ac:dyDescent="0.25">
      <c r="B309" s="50" t="s">
        <v>2300</v>
      </c>
      <c r="C309" s="51" t="s">
        <v>2483</v>
      </c>
      <c r="D309" s="51" t="s">
        <v>2472</v>
      </c>
      <c r="E309" s="1">
        <v>3400</v>
      </c>
      <c r="F309" s="1">
        <v>0.05</v>
      </c>
      <c r="G309" s="1">
        <v>0.13</v>
      </c>
      <c r="H309" s="1">
        <f t="shared" si="115"/>
        <v>170</v>
      </c>
      <c r="I309" s="52">
        <f t="shared" si="116"/>
        <v>464.1</v>
      </c>
      <c r="J309" s="52">
        <f t="shared" si="117"/>
        <v>4034.1</v>
      </c>
      <c r="K309" s="53">
        <v>0.15</v>
      </c>
      <c r="L309" s="52">
        <f t="shared" si="118"/>
        <v>605.11500000000001</v>
      </c>
      <c r="M309" s="52">
        <f t="shared" si="119"/>
        <v>4639.2150000000001</v>
      </c>
      <c r="N309" s="53">
        <v>0.2</v>
      </c>
      <c r="O309" s="52">
        <f t="shared" si="120"/>
        <v>5799.0187500000002</v>
      </c>
      <c r="P309" s="1">
        <f t="shared" si="121"/>
        <v>5800</v>
      </c>
    </row>
    <row r="310" spans="2:16" x14ac:dyDescent="0.25">
      <c r="B310" s="50" t="s">
        <v>2484</v>
      </c>
      <c r="C310" s="51" t="s">
        <v>2485</v>
      </c>
      <c r="D310" s="51" t="s">
        <v>2472</v>
      </c>
      <c r="E310" s="1">
        <v>6920</v>
      </c>
      <c r="F310" s="1">
        <v>0.05</v>
      </c>
      <c r="G310" s="1">
        <v>0.13</v>
      </c>
      <c r="H310" s="1">
        <f t="shared" si="115"/>
        <v>346</v>
      </c>
      <c r="I310" s="52">
        <f t="shared" si="116"/>
        <v>944.58</v>
      </c>
      <c r="J310" s="52">
        <f t="shared" si="117"/>
        <v>8210.58</v>
      </c>
      <c r="K310" s="53">
        <v>0.15</v>
      </c>
      <c r="L310" s="52">
        <f t="shared" si="118"/>
        <v>1231.587</v>
      </c>
      <c r="M310" s="52">
        <f t="shared" si="119"/>
        <v>9442.1669999999995</v>
      </c>
      <c r="N310" s="53">
        <v>0.2</v>
      </c>
      <c r="O310" s="52">
        <f t="shared" si="120"/>
        <v>11802.708749999998</v>
      </c>
      <c r="P310" s="1">
        <f t="shared" si="121"/>
        <v>11800</v>
      </c>
    </row>
    <row r="311" spans="2:16" x14ac:dyDescent="0.25">
      <c r="B311" s="50" t="s">
        <v>2302</v>
      </c>
      <c r="C311" s="51" t="s">
        <v>2486</v>
      </c>
      <c r="D311" s="51" t="s">
        <v>2472</v>
      </c>
      <c r="E311" s="1">
        <v>7540</v>
      </c>
      <c r="F311" s="1">
        <v>0.05</v>
      </c>
      <c r="G311" s="1">
        <v>0.13</v>
      </c>
      <c r="H311" s="1">
        <f t="shared" si="115"/>
        <v>377</v>
      </c>
      <c r="I311" s="52">
        <f t="shared" si="116"/>
        <v>1029.21</v>
      </c>
      <c r="J311" s="52">
        <f t="shared" si="117"/>
        <v>8946.2099999999991</v>
      </c>
      <c r="K311" s="53">
        <v>0.15</v>
      </c>
      <c r="L311" s="52">
        <f t="shared" si="118"/>
        <v>1341.9314999999999</v>
      </c>
      <c r="M311" s="52">
        <f t="shared" si="119"/>
        <v>10288.1415</v>
      </c>
      <c r="N311" s="53">
        <v>0.2</v>
      </c>
      <c r="O311" s="52">
        <f t="shared" si="120"/>
        <v>12860.176874999999</v>
      </c>
      <c r="P311" s="1">
        <f t="shared" si="121"/>
        <v>12860</v>
      </c>
    </row>
    <row r="312" spans="2:16" x14ac:dyDescent="0.25">
      <c r="B312" s="125" t="s">
        <v>1843</v>
      </c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</row>
    <row r="313" spans="2:16" x14ac:dyDescent="0.25">
      <c r="B313" s="50" t="s">
        <v>2487</v>
      </c>
      <c r="C313" s="51" t="s">
        <v>2488</v>
      </c>
      <c r="D313" s="51" t="s">
        <v>1843</v>
      </c>
      <c r="E313" s="1">
        <v>1560</v>
      </c>
      <c r="F313" s="1">
        <v>0.05</v>
      </c>
      <c r="G313" s="1">
        <v>0.13</v>
      </c>
      <c r="H313" s="1">
        <f t="shared" ref="H313:H329" si="122">F313*E313</f>
        <v>78</v>
      </c>
      <c r="I313" s="52">
        <f t="shared" ref="I313:I329" si="123">G313*(E313+H313)</f>
        <v>212.94</v>
      </c>
      <c r="J313" s="52">
        <f t="shared" ref="J313:J329" si="124">E313+H313+I313</f>
        <v>1850.94</v>
      </c>
      <c r="K313" s="53">
        <v>0.15</v>
      </c>
      <c r="L313" s="52">
        <f t="shared" ref="L313:L329" si="125">J313*K313</f>
        <v>277.64100000000002</v>
      </c>
      <c r="M313" s="52">
        <f t="shared" ref="M313:M329" si="126">J313+L313</f>
        <v>2128.5810000000001</v>
      </c>
      <c r="N313" s="53">
        <v>0.2</v>
      </c>
      <c r="O313" s="52">
        <f t="shared" ref="O313:O329" si="127">$M313/(1-N313)</f>
        <v>2660.7262500000002</v>
      </c>
      <c r="P313" s="1">
        <f t="shared" ref="P313:P329" si="128">MROUND(O313,10)</f>
        <v>2660</v>
      </c>
    </row>
    <row r="314" spans="2:16" x14ac:dyDescent="0.25">
      <c r="B314" s="50" t="s">
        <v>2489</v>
      </c>
      <c r="C314" s="51" t="s">
        <v>2490</v>
      </c>
      <c r="D314" s="51" t="s">
        <v>1843</v>
      </c>
      <c r="E314" s="1">
        <v>1530</v>
      </c>
      <c r="F314" s="1">
        <v>0.05</v>
      </c>
      <c r="G314" s="1">
        <v>0.13</v>
      </c>
      <c r="H314" s="1">
        <f t="shared" si="122"/>
        <v>76.5</v>
      </c>
      <c r="I314" s="52">
        <f t="shared" si="123"/>
        <v>208.845</v>
      </c>
      <c r="J314" s="52">
        <f t="shared" si="124"/>
        <v>1815.345</v>
      </c>
      <c r="K314" s="53">
        <v>0.15</v>
      </c>
      <c r="L314" s="52">
        <f t="shared" si="125"/>
        <v>272.30174999999997</v>
      </c>
      <c r="M314" s="52">
        <f t="shared" si="126"/>
        <v>2087.6467499999999</v>
      </c>
      <c r="N314" s="53">
        <v>0.2</v>
      </c>
      <c r="O314" s="52">
        <f t="shared" si="127"/>
        <v>2609.5584374999999</v>
      </c>
      <c r="P314" s="1">
        <f t="shared" si="128"/>
        <v>2610</v>
      </c>
    </row>
    <row r="315" spans="2:16" x14ac:dyDescent="0.25">
      <c r="B315" s="50" t="s">
        <v>2491</v>
      </c>
      <c r="C315" s="51" t="s">
        <v>2492</v>
      </c>
      <c r="D315" s="51" t="s">
        <v>1843</v>
      </c>
      <c r="E315" s="1">
        <v>1860</v>
      </c>
      <c r="F315" s="1">
        <v>0.05</v>
      </c>
      <c r="G315" s="1">
        <v>0.13</v>
      </c>
      <c r="H315" s="1">
        <f t="shared" si="122"/>
        <v>93</v>
      </c>
      <c r="I315" s="52">
        <f t="shared" si="123"/>
        <v>253.89000000000001</v>
      </c>
      <c r="J315" s="52">
        <f t="shared" si="124"/>
        <v>2206.89</v>
      </c>
      <c r="K315" s="53">
        <v>0.15</v>
      </c>
      <c r="L315" s="52">
        <f t="shared" si="125"/>
        <v>331.03349999999995</v>
      </c>
      <c r="M315" s="52">
        <f t="shared" si="126"/>
        <v>2537.9234999999999</v>
      </c>
      <c r="N315" s="53">
        <v>0.2</v>
      </c>
      <c r="O315" s="52">
        <f t="shared" si="127"/>
        <v>3172.4043749999996</v>
      </c>
      <c r="P315" s="1">
        <f t="shared" si="128"/>
        <v>3170</v>
      </c>
    </row>
    <row r="316" spans="2:16" x14ac:dyDescent="0.25">
      <c r="B316" s="50" t="s">
        <v>2351</v>
      </c>
      <c r="C316" s="51" t="s">
        <v>2493</v>
      </c>
      <c r="D316" s="51" t="s">
        <v>1843</v>
      </c>
      <c r="E316" s="1">
        <v>2520</v>
      </c>
      <c r="F316" s="1">
        <v>0.05</v>
      </c>
      <c r="G316" s="1">
        <v>0.13</v>
      </c>
      <c r="H316" s="1">
        <f t="shared" si="122"/>
        <v>126</v>
      </c>
      <c r="I316" s="52">
        <f t="shared" si="123"/>
        <v>343.98</v>
      </c>
      <c r="J316" s="52">
        <f t="shared" si="124"/>
        <v>2989.98</v>
      </c>
      <c r="K316" s="53">
        <v>0.15</v>
      </c>
      <c r="L316" s="52">
        <f t="shared" si="125"/>
        <v>448.49700000000001</v>
      </c>
      <c r="M316" s="52">
        <f t="shared" si="126"/>
        <v>3438.4769999999999</v>
      </c>
      <c r="N316" s="53">
        <v>0.2</v>
      </c>
      <c r="O316" s="52">
        <f t="shared" si="127"/>
        <v>4298.0962499999996</v>
      </c>
      <c r="P316" s="1">
        <f t="shared" si="128"/>
        <v>4300</v>
      </c>
    </row>
    <row r="317" spans="2:16" x14ac:dyDescent="0.25">
      <c r="B317" s="50" t="s">
        <v>2494</v>
      </c>
      <c r="C317" s="51" t="s">
        <v>2495</v>
      </c>
      <c r="D317" s="51" t="s">
        <v>1843</v>
      </c>
      <c r="E317" s="1">
        <v>1080</v>
      </c>
      <c r="F317" s="1">
        <v>0.05</v>
      </c>
      <c r="G317" s="1">
        <v>0.13</v>
      </c>
      <c r="H317" s="1">
        <f t="shared" si="122"/>
        <v>54</v>
      </c>
      <c r="I317" s="52">
        <f t="shared" si="123"/>
        <v>147.42000000000002</v>
      </c>
      <c r="J317" s="52">
        <f t="shared" si="124"/>
        <v>1281.42</v>
      </c>
      <c r="K317" s="53">
        <v>0.15</v>
      </c>
      <c r="L317" s="52">
        <f t="shared" si="125"/>
        <v>192.21299999999999</v>
      </c>
      <c r="M317" s="52">
        <f t="shared" si="126"/>
        <v>1473.633</v>
      </c>
      <c r="N317" s="53">
        <v>0.2</v>
      </c>
      <c r="O317" s="52">
        <f t="shared" si="127"/>
        <v>1842.04125</v>
      </c>
      <c r="P317" s="1">
        <f t="shared" si="128"/>
        <v>1840</v>
      </c>
    </row>
    <row r="318" spans="2:16" x14ac:dyDescent="0.25">
      <c r="B318" s="50" t="s">
        <v>2496</v>
      </c>
      <c r="C318" s="51" t="s">
        <v>2497</v>
      </c>
      <c r="D318" s="51" t="s">
        <v>1843</v>
      </c>
      <c r="E318" s="1">
        <v>1890</v>
      </c>
      <c r="F318" s="1">
        <v>0.05</v>
      </c>
      <c r="G318" s="1">
        <v>0.13</v>
      </c>
      <c r="H318" s="1">
        <f t="shared" si="122"/>
        <v>94.5</v>
      </c>
      <c r="I318" s="52">
        <f t="shared" si="123"/>
        <v>257.98500000000001</v>
      </c>
      <c r="J318" s="52">
        <f t="shared" si="124"/>
        <v>2242.4850000000001</v>
      </c>
      <c r="K318" s="53">
        <v>0.15</v>
      </c>
      <c r="L318" s="52">
        <f t="shared" si="125"/>
        <v>336.37275</v>
      </c>
      <c r="M318" s="52">
        <f t="shared" si="126"/>
        <v>2578.8577500000001</v>
      </c>
      <c r="N318" s="53">
        <v>0.2</v>
      </c>
      <c r="O318" s="52">
        <f t="shared" si="127"/>
        <v>3223.5721874999999</v>
      </c>
      <c r="P318" s="1">
        <f t="shared" si="128"/>
        <v>3220</v>
      </c>
    </row>
    <row r="319" spans="2:16" x14ac:dyDescent="0.25">
      <c r="B319" s="50" t="s">
        <v>2498</v>
      </c>
      <c r="C319" s="51" t="s">
        <v>2499</v>
      </c>
      <c r="D319" s="51" t="s">
        <v>1843</v>
      </c>
      <c r="E319" s="1">
        <v>4640</v>
      </c>
      <c r="F319" s="1">
        <v>0.05</v>
      </c>
      <c r="G319" s="1">
        <v>0.13</v>
      </c>
      <c r="H319" s="1">
        <f t="shared" si="122"/>
        <v>232</v>
      </c>
      <c r="I319" s="52">
        <f t="shared" si="123"/>
        <v>633.36</v>
      </c>
      <c r="J319" s="52">
        <f t="shared" si="124"/>
        <v>5505.36</v>
      </c>
      <c r="K319" s="53">
        <v>0.15</v>
      </c>
      <c r="L319" s="52">
        <f t="shared" si="125"/>
        <v>825.80399999999997</v>
      </c>
      <c r="M319" s="52">
        <f t="shared" si="126"/>
        <v>6331.1639999999998</v>
      </c>
      <c r="N319" s="53">
        <v>0.2</v>
      </c>
      <c r="O319" s="52">
        <f t="shared" si="127"/>
        <v>7913.954999999999</v>
      </c>
      <c r="P319" s="1">
        <f t="shared" si="128"/>
        <v>7910</v>
      </c>
    </row>
    <row r="320" spans="2:16" x14ac:dyDescent="0.25">
      <c r="B320" s="50" t="s">
        <v>2500</v>
      </c>
      <c r="C320" s="51" t="s">
        <v>2501</v>
      </c>
      <c r="D320" s="51" t="s">
        <v>1843</v>
      </c>
      <c r="E320" s="1">
        <v>5860</v>
      </c>
      <c r="F320" s="1">
        <v>0.05</v>
      </c>
      <c r="G320" s="1">
        <v>0.13</v>
      </c>
      <c r="H320" s="1">
        <f t="shared" si="122"/>
        <v>293</v>
      </c>
      <c r="I320" s="52">
        <f t="shared" si="123"/>
        <v>799.89</v>
      </c>
      <c r="J320" s="52">
        <f t="shared" si="124"/>
        <v>6952.89</v>
      </c>
      <c r="K320" s="53">
        <v>0.15</v>
      </c>
      <c r="L320" s="52">
        <f t="shared" si="125"/>
        <v>1042.9335000000001</v>
      </c>
      <c r="M320" s="52">
        <f t="shared" si="126"/>
        <v>7995.8235000000004</v>
      </c>
      <c r="N320" s="53">
        <v>0.2</v>
      </c>
      <c r="O320" s="52">
        <f t="shared" si="127"/>
        <v>9994.7793750000001</v>
      </c>
      <c r="P320" s="1">
        <f t="shared" si="128"/>
        <v>9990</v>
      </c>
    </row>
    <row r="321" spans="2:16" x14ac:dyDescent="0.25">
      <c r="B321" s="54" t="s">
        <v>2502</v>
      </c>
      <c r="C321" s="1" t="s">
        <v>2503</v>
      </c>
      <c r="D321" s="1" t="s">
        <v>1843</v>
      </c>
      <c r="E321" s="1">
        <v>7400</v>
      </c>
      <c r="F321" s="1">
        <v>0.05</v>
      </c>
      <c r="G321" s="1">
        <v>0.13</v>
      </c>
      <c r="H321" s="1">
        <f t="shared" si="122"/>
        <v>370</v>
      </c>
      <c r="I321" s="52">
        <f t="shared" si="123"/>
        <v>1010.1</v>
      </c>
      <c r="J321" s="52">
        <f t="shared" si="124"/>
        <v>8780.1</v>
      </c>
      <c r="K321" s="53">
        <v>0.15</v>
      </c>
      <c r="L321" s="52">
        <f t="shared" si="125"/>
        <v>1317.0150000000001</v>
      </c>
      <c r="M321" s="52">
        <f t="shared" si="126"/>
        <v>10097.115</v>
      </c>
      <c r="N321" s="53">
        <v>0.2</v>
      </c>
      <c r="O321" s="52">
        <f t="shared" si="127"/>
        <v>12621.393749999999</v>
      </c>
      <c r="P321" s="1">
        <f t="shared" si="128"/>
        <v>12620</v>
      </c>
    </row>
    <row r="322" spans="2:16" x14ac:dyDescent="0.25">
      <c r="B322" s="50" t="s">
        <v>2387</v>
      </c>
      <c r="C322" s="51" t="s">
        <v>2504</v>
      </c>
      <c r="D322" s="51" t="s">
        <v>1843</v>
      </c>
      <c r="E322" s="1">
        <v>4590</v>
      </c>
      <c r="F322" s="1">
        <v>0.05</v>
      </c>
      <c r="G322" s="1">
        <v>0.13</v>
      </c>
      <c r="H322" s="1">
        <f t="shared" si="122"/>
        <v>229.5</v>
      </c>
      <c r="I322" s="52">
        <f t="shared" si="123"/>
        <v>626.53499999999997</v>
      </c>
      <c r="J322" s="52">
        <f t="shared" si="124"/>
        <v>5446.0349999999999</v>
      </c>
      <c r="K322" s="53">
        <v>0.15</v>
      </c>
      <c r="L322" s="52">
        <f t="shared" si="125"/>
        <v>816.90524999999991</v>
      </c>
      <c r="M322" s="52">
        <f t="shared" si="126"/>
        <v>6262.9402499999997</v>
      </c>
      <c r="N322" s="53">
        <v>0.2</v>
      </c>
      <c r="O322" s="52">
        <f t="shared" si="127"/>
        <v>7828.6753124999996</v>
      </c>
      <c r="P322" s="1">
        <f t="shared" si="128"/>
        <v>7830</v>
      </c>
    </row>
    <row r="323" spans="2:16" x14ac:dyDescent="0.25">
      <c r="B323" s="50" t="s">
        <v>2420</v>
      </c>
      <c r="C323" s="51" t="s">
        <v>2505</v>
      </c>
      <c r="D323" s="51" t="s">
        <v>1843</v>
      </c>
      <c r="E323" s="1">
        <v>2310</v>
      </c>
      <c r="F323" s="1">
        <v>0.05</v>
      </c>
      <c r="G323" s="1">
        <v>0.13</v>
      </c>
      <c r="H323" s="1">
        <f t="shared" si="122"/>
        <v>115.5</v>
      </c>
      <c r="I323" s="52">
        <f t="shared" si="123"/>
        <v>315.315</v>
      </c>
      <c r="J323" s="52">
        <f t="shared" si="124"/>
        <v>2740.8150000000001</v>
      </c>
      <c r="K323" s="53">
        <v>0.15</v>
      </c>
      <c r="L323" s="52">
        <f t="shared" si="125"/>
        <v>411.12225000000001</v>
      </c>
      <c r="M323" s="52">
        <f t="shared" si="126"/>
        <v>3151.9372499999999</v>
      </c>
      <c r="N323" s="53">
        <v>0.2</v>
      </c>
      <c r="O323" s="52">
        <f t="shared" si="127"/>
        <v>3939.9215624999997</v>
      </c>
      <c r="P323" s="1">
        <f t="shared" si="128"/>
        <v>3940</v>
      </c>
    </row>
    <row r="324" spans="2:16" x14ac:dyDescent="0.25">
      <c r="B324" s="54" t="s">
        <v>2506</v>
      </c>
      <c r="C324" s="1" t="s">
        <v>2507</v>
      </c>
      <c r="D324" s="1" t="s">
        <v>1843</v>
      </c>
      <c r="E324" s="1">
        <v>3350</v>
      </c>
      <c r="F324" s="1">
        <v>0.05</v>
      </c>
      <c r="G324" s="1">
        <v>0.13</v>
      </c>
      <c r="H324" s="1">
        <f t="shared" si="122"/>
        <v>167.5</v>
      </c>
      <c r="I324" s="52">
        <f t="shared" si="123"/>
        <v>457.27500000000003</v>
      </c>
      <c r="J324" s="52">
        <f t="shared" si="124"/>
        <v>3974.7750000000001</v>
      </c>
      <c r="K324" s="53">
        <v>0.15</v>
      </c>
      <c r="L324" s="52">
        <f t="shared" si="125"/>
        <v>596.21624999999995</v>
      </c>
      <c r="M324" s="52">
        <f t="shared" si="126"/>
        <v>4570.99125</v>
      </c>
      <c r="N324" s="53">
        <v>0.2</v>
      </c>
      <c r="O324" s="52">
        <f t="shared" si="127"/>
        <v>5713.7390624999998</v>
      </c>
      <c r="P324" s="1">
        <f t="shared" si="128"/>
        <v>5710</v>
      </c>
    </row>
    <row r="325" spans="2:16" x14ac:dyDescent="0.25">
      <c r="B325" s="50" t="s">
        <v>2508</v>
      </c>
      <c r="C325" s="51" t="s">
        <v>2509</v>
      </c>
      <c r="D325" s="51" t="s">
        <v>1843</v>
      </c>
      <c r="E325" s="1">
        <v>4760</v>
      </c>
      <c r="F325" s="1">
        <v>0.05</v>
      </c>
      <c r="G325" s="1">
        <v>0.13</v>
      </c>
      <c r="H325" s="1">
        <f t="shared" si="122"/>
        <v>238</v>
      </c>
      <c r="I325" s="52">
        <f t="shared" si="123"/>
        <v>649.74</v>
      </c>
      <c r="J325" s="52">
        <f t="shared" si="124"/>
        <v>5647.74</v>
      </c>
      <c r="K325" s="53">
        <v>0.15</v>
      </c>
      <c r="L325" s="52">
        <f t="shared" si="125"/>
        <v>847.16099999999994</v>
      </c>
      <c r="M325" s="52">
        <f t="shared" si="126"/>
        <v>6494.9009999999998</v>
      </c>
      <c r="N325" s="53">
        <v>0.2</v>
      </c>
      <c r="O325" s="52">
        <f t="shared" si="127"/>
        <v>8118.6262499999993</v>
      </c>
      <c r="P325" s="1">
        <f t="shared" si="128"/>
        <v>8120</v>
      </c>
    </row>
    <row r="326" spans="2:16" x14ac:dyDescent="0.25">
      <c r="B326" s="50" t="s">
        <v>2510</v>
      </c>
      <c r="C326" s="51" t="s">
        <v>2511</v>
      </c>
      <c r="D326" s="51" t="s">
        <v>1843</v>
      </c>
      <c r="E326" s="1">
        <v>8430</v>
      </c>
      <c r="F326" s="1">
        <v>0.05</v>
      </c>
      <c r="G326" s="1">
        <v>0.13</v>
      </c>
      <c r="H326" s="1">
        <f t="shared" si="122"/>
        <v>421.5</v>
      </c>
      <c r="I326" s="52">
        <f t="shared" si="123"/>
        <v>1150.6949999999999</v>
      </c>
      <c r="J326" s="52">
        <f t="shared" si="124"/>
        <v>10002.195</v>
      </c>
      <c r="K326" s="53">
        <v>0.15</v>
      </c>
      <c r="L326" s="52">
        <f t="shared" si="125"/>
        <v>1500.32925</v>
      </c>
      <c r="M326" s="52">
        <f t="shared" si="126"/>
        <v>11502.52425</v>
      </c>
      <c r="N326" s="53">
        <v>0.2</v>
      </c>
      <c r="O326" s="52">
        <f t="shared" si="127"/>
        <v>14378.155312499999</v>
      </c>
      <c r="P326" s="1">
        <f t="shared" si="128"/>
        <v>14380</v>
      </c>
    </row>
    <row r="327" spans="2:16" x14ac:dyDescent="0.25">
      <c r="B327" s="50" t="s">
        <v>2512</v>
      </c>
      <c r="C327" s="51" t="s">
        <v>2513</v>
      </c>
      <c r="D327" s="51" t="s">
        <v>1843</v>
      </c>
      <c r="E327" s="1">
        <v>7270</v>
      </c>
      <c r="F327" s="1">
        <v>0.05</v>
      </c>
      <c r="G327" s="1">
        <v>0.13</v>
      </c>
      <c r="H327" s="1">
        <f t="shared" si="122"/>
        <v>363.5</v>
      </c>
      <c r="I327" s="52">
        <f t="shared" si="123"/>
        <v>992.35500000000002</v>
      </c>
      <c r="J327" s="52">
        <f t="shared" si="124"/>
        <v>8625.8549999999996</v>
      </c>
      <c r="K327" s="53">
        <v>0.15</v>
      </c>
      <c r="L327" s="52">
        <f t="shared" si="125"/>
        <v>1293.87825</v>
      </c>
      <c r="M327" s="52">
        <f t="shared" si="126"/>
        <v>9919.7332499999993</v>
      </c>
      <c r="N327" s="53">
        <v>0.2</v>
      </c>
      <c r="O327" s="52">
        <f t="shared" si="127"/>
        <v>12399.666562499999</v>
      </c>
      <c r="P327" s="1">
        <f t="shared" si="128"/>
        <v>12400</v>
      </c>
    </row>
    <row r="328" spans="2:16" x14ac:dyDescent="0.25">
      <c r="B328" s="50" t="s">
        <v>2514</v>
      </c>
      <c r="C328" s="51" t="s">
        <v>2515</v>
      </c>
      <c r="D328" s="51" t="s">
        <v>1843</v>
      </c>
      <c r="E328" s="1">
        <v>8050</v>
      </c>
      <c r="F328" s="1">
        <v>0.05</v>
      </c>
      <c r="G328" s="1">
        <v>0.13</v>
      </c>
      <c r="H328" s="1">
        <f t="shared" si="122"/>
        <v>402.5</v>
      </c>
      <c r="I328" s="52">
        <f t="shared" si="123"/>
        <v>1098.825</v>
      </c>
      <c r="J328" s="52">
        <f t="shared" si="124"/>
        <v>9551.3250000000007</v>
      </c>
      <c r="K328" s="53">
        <v>0.15</v>
      </c>
      <c r="L328" s="52">
        <f t="shared" si="125"/>
        <v>1432.69875</v>
      </c>
      <c r="M328" s="52">
        <f t="shared" si="126"/>
        <v>10984.02375</v>
      </c>
      <c r="N328" s="53">
        <v>0.2</v>
      </c>
      <c r="O328" s="52">
        <f t="shared" si="127"/>
        <v>13730.0296875</v>
      </c>
      <c r="P328" s="1">
        <f t="shared" si="128"/>
        <v>13730</v>
      </c>
    </row>
    <row r="329" spans="2:16" x14ac:dyDescent="0.25">
      <c r="B329" s="50" t="s">
        <v>2516</v>
      </c>
      <c r="C329" s="51" t="s">
        <v>2517</v>
      </c>
      <c r="D329" s="51" t="s">
        <v>1843</v>
      </c>
      <c r="E329" s="1">
        <v>890</v>
      </c>
      <c r="F329" s="1">
        <v>0.05</v>
      </c>
      <c r="G329" s="1">
        <v>0.13</v>
      </c>
      <c r="H329" s="1">
        <f t="shared" si="122"/>
        <v>44.5</v>
      </c>
      <c r="I329" s="52">
        <f t="shared" si="123"/>
        <v>121.485</v>
      </c>
      <c r="J329" s="52">
        <f t="shared" si="124"/>
        <v>1055.9849999999999</v>
      </c>
      <c r="K329" s="53">
        <v>0.15</v>
      </c>
      <c r="L329" s="52">
        <f t="shared" si="125"/>
        <v>158.39774999999997</v>
      </c>
      <c r="M329" s="52">
        <f t="shared" si="126"/>
        <v>1214.3827499999998</v>
      </c>
      <c r="N329" s="53">
        <v>0.2</v>
      </c>
      <c r="O329" s="52">
        <f t="shared" si="127"/>
        <v>1517.9784374999997</v>
      </c>
      <c r="P329" s="1">
        <f t="shared" si="128"/>
        <v>1520</v>
      </c>
    </row>
    <row r="330" spans="2:16" x14ac:dyDescent="0.25">
      <c r="B330" s="125" t="s">
        <v>1823</v>
      </c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</row>
    <row r="331" spans="2:16" x14ac:dyDescent="0.25">
      <c r="B331" s="50" t="s">
        <v>2518</v>
      </c>
      <c r="C331" s="51" t="s">
        <v>2519</v>
      </c>
      <c r="D331" s="51" t="s">
        <v>1823</v>
      </c>
      <c r="E331" s="1">
        <v>1060</v>
      </c>
      <c r="F331" s="1">
        <v>0</v>
      </c>
      <c r="G331" s="1">
        <v>0.13</v>
      </c>
      <c r="H331" s="1">
        <f t="shared" ref="H331:H349" si="129">F331*E331</f>
        <v>0</v>
      </c>
      <c r="I331" s="52">
        <f t="shared" ref="I331:I349" si="130">G331*(E331+H331)</f>
        <v>137.80000000000001</v>
      </c>
      <c r="J331" s="52">
        <f t="shared" ref="J331:J349" si="131">E331+H331+I331</f>
        <v>1197.8</v>
      </c>
      <c r="K331" s="53">
        <v>0.15</v>
      </c>
      <c r="L331" s="52">
        <f t="shared" ref="L331:L349" si="132">J331*K331</f>
        <v>179.67</v>
      </c>
      <c r="M331" s="52">
        <f t="shared" ref="M331:M349" si="133">J331+L331</f>
        <v>1377.47</v>
      </c>
      <c r="N331" s="53">
        <v>0.2</v>
      </c>
      <c r="O331" s="52">
        <f t="shared" ref="O331:O349" si="134">$M331/(1-N331)</f>
        <v>1721.8374999999999</v>
      </c>
      <c r="P331" s="1">
        <f t="shared" ref="P331:P349" si="135">MROUND(O331,10)</f>
        <v>1720</v>
      </c>
    </row>
    <row r="332" spans="2:16" x14ac:dyDescent="0.25">
      <c r="B332" s="50" t="s">
        <v>2487</v>
      </c>
      <c r="C332" s="51" t="s">
        <v>2520</v>
      </c>
      <c r="D332" s="51" t="s">
        <v>1823</v>
      </c>
      <c r="E332" s="1">
        <v>1710</v>
      </c>
      <c r="F332" s="1">
        <v>0.05</v>
      </c>
      <c r="G332" s="1">
        <v>0.13</v>
      </c>
      <c r="H332" s="1">
        <f t="shared" si="129"/>
        <v>85.5</v>
      </c>
      <c r="I332" s="52">
        <f t="shared" si="130"/>
        <v>233.41500000000002</v>
      </c>
      <c r="J332" s="52">
        <f t="shared" si="131"/>
        <v>2028.915</v>
      </c>
      <c r="K332" s="53">
        <v>0.15</v>
      </c>
      <c r="L332" s="52">
        <f t="shared" si="132"/>
        <v>304.33724999999998</v>
      </c>
      <c r="M332" s="52">
        <f t="shared" si="133"/>
        <v>2333.25225</v>
      </c>
      <c r="N332" s="53">
        <v>0.2</v>
      </c>
      <c r="O332" s="52">
        <f t="shared" si="134"/>
        <v>2916.5653124999999</v>
      </c>
      <c r="P332" s="1">
        <f t="shared" si="135"/>
        <v>2920</v>
      </c>
    </row>
    <row r="333" spans="2:16" x14ac:dyDescent="0.25">
      <c r="B333" s="50" t="s">
        <v>2489</v>
      </c>
      <c r="C333" s="51" t="s">
        <v>2521</v>
      </c>
      <c r="D333" s="51" t="s">
        <v>1823</v>
      </c>
      <c r="E333" s="1">
        <v>1420</v>
      </c>
      <c r="F333" s="1">
        <v>0.05</v>
      </c>
      <c r="G333" s="1">
        <v>0.13</v>
      </c>
      <c r="H333" s="1">
        <f t="shared" si="129"/>
        <v>71</v>
      </c>
      <c r="I333" s="52">
        <f t="shared" si="130"/>
        <v>193.83</v>
      </c>
      <c r="J333" s="52">
        <f t="shared" si="131"/>
        <v>1684.83</v>
      </c>
      <c r="K333" s="53">
        <v>0.15</v>
      </c>
      <c r="L333" s="52">
        <f t="shared" si="132"/>
        <v>252.72449999999998</v>
      </c>
      <c r="M333" s="52">
        <f t="shared" si="133"/>
        <v>1937.5545</v>
      </c>
      <c r="N333" s="53">
        <v>0.2</v>
      </c>
      <c r="O333" s="52">
        <f t="shared" si="134"/>
        <v>2421.9431249999998</v>
      </c>
      <c r="P333" s="1">
        <f t="shared" si="135"/>
        <v>2420</v>
      </c>
    </row>
    <row r="334" spans="2:16" x14ac:dyDescent="0.25">
      <c r="B334" s="54" t="s">
        <v>2491</v>
      </c>
      <c r="C334" s="1" t="s">
        <v>2522</v>
      </c>
      <c r="D334" s="1" t="s">
        <v>1823</v>
      </c>
      <c r="E334" s="1">
        <v>1480</v>
      </c>
      <c r="F334" s="1">
        <v>0.05</v>
      </c>
      <c r="G334" s="1">
        <v>0.13</v>
      </c>
      <c r="H334" s="1">
        <f t="shared" si="129"/>
        <v>74</v>
      </c>
      <c r="I334" s="52">
        <f t="shared" si="130"/>
        <v>202.02</v>
      </c>
      <c r="J334" s="52">
        <f t="shared" si="131"/>
        <v>1756.02</v>
      </c>
      <c r="K334" s="53">
        <v>0.15</v>
      </c>
      <c r="L334" s="52">
        <f t="shared" si="132"/>
        <v>263.40299999999996</v>
      </c>
      <c r="M334" s="52">
        <f t="shared" si="133"/>
        <v>2019.423</v>
      </c>
      <c r="N334" s="53">
        <v>0.2</v>
      </c>
      <c r="O334" s="52">
        <f t="shared" si="134"/>
        <v>2524.2787499999999</v>
      </c>
      <c r="P334" s="1">
        <f t="shared" si="135"/>
        <v>2520</v>
      </c>
    </row>
    <row r="335" spans="2:16" x14ac:dyDescent="0.25">
      <c r="B335" s="54" t="s">
        <v>2351</v>
      </c>
      <c r="C335" s="1" t="s">
        <v>2523</v>
      </c>
      <c r="D335" s="1" t="s">
        <v>1823</v>
      </c>
      <c r="E335" s="1">
        <v>1740</v>
      </c>
      <c r="F335" s="1">
        <v>0.05</v>
      </c>
      <c r="G335" s="1">
        <v>0.13</v>
      </c>
      <c r="H335" s="1">
        <f t="shared" si="129"/>
        <v>87</v>
      </c>
      <c r="I335" s="52">
        <f t="shared" si="130"/>
        <v>237.51000000000002</v>
      </c>
      <c r="J335" s="52">
        <f t="shared" si="131"/>
        <v>2064.5100000000002</v>
      </c>
      <c r="K335" s="53">
        <v>0.15</v>
      </c>
      <c r="L335" s="52">
        <f t="shared" si="132"/>
        <v>309.67650000000003</v>
      </c>
      <c r="M335" s="52">
        <f t="shared" si="133"/>
        <v>2374.1865000000003</v>
      </c>
      <c r="N335" s="53">
        <v>0.2</v>
      </c>
      <c r="O335" s="52">
        <f t="shared" si="134"/>
        <v>2967.7331250000002</v>
      </c>
      <c r="P335" s="1">
        <f t="shared" si="135"/>
        <v>2970</v>
      </c>
    </row>
    <row r="336" spans="2:16" x14ac:dyDescent="0.25">
      <c r="B336" s="50" t="s">
        <v>2494</v>
      </c>
      <c r="C336" s="51" t="s">
        <v>2524</v>
      </c>
      <c r="D336" s="51" t="s">
        <v>1823</v>
      </c>
      <c r="E336" s="1">
        <v>1190</v>
      </c>
      <c r="F336" s="1">
        <v>0.05</v>
      </c>
      <c r="G336" s="1">
        <v>0.13</v>
      </c>
      <c r="H336" s="1">
        <f t="shared" si="129"/>
        <v>59.5</v>
      </c>
      <c r="I336" s="52">
        <f t="shared" si="130"/>
        <v>162.435</v>
      </c>
      <c r="J336" s="52">
        <f t="shared" si="131"/>
        <v>1411.9349999999999</v>
      </c>
      <c r="K336" s="53">
        <v>0.15</v>
      </c>
      <c r="L336" s="52">
        <f t="shared" si="132"/>
        <v>211.79024999999999</v>
      </c>
      <c r="M336" s="52">
        <f t="shared" si="133"/>
        <v>1623.72525</v>
      </c>
      <c r="N336" s="53">
        <v>0.2</v>
      </c>
      <c r="O336" s="52">
        <f t="shared" si="134"/>
        <v>2029.6565624999998</v>
      </c>
      <c r="P336" s="1">
        <f t="shared" si="135"/>
        <v>2030</v>
      </c>
    </row>
    <row r="337" spans="2:16" x14ac:dyDescent="0.25">
      <c r="B337" s="50" t="s">
        <v>2496</v>
      </c>
      <c r="C337" s="51" t="s">
        <v>2525</v>
      </c>
      <c r="D337" s="51" t="s">
        <v>1823</v>
      </c>
      <c r="E337" s="1">
        <v>1910</v>
      </c>
      <c r="F337" s="1">
        <v>0.05</v>
      </c>
      <c r="G337" s="1">
        <v>0.13</v>
      </c>
      <c r="H337" s="1">
        <f t="shared" si="129"/>
        <v>95.5</v>
      </c>
      <c r="I337" s="52">
        <f t="shared" si="130"/>
        <v>260.71500000000003</v>
      </c>
      <c r="J337" s="52">
        <f t="shared" si="131"/>
        <v>2266.2150000000001</v>
      </c>
      <c r="K337" s="53">
        <v>0.15</v>
      </c>
      <c r="L337" s="52">
        <f t="shared" si="132"/>
        <v>339.93225000000001</v>
      </c>
      <c r="M337" s="52">
        <f t="shared" si="133"/>
        <v>2606.14725</v>
      </c>
      <c r="N337" s="53">
        <v>0.2</v>
      </c>
      <c r="O337" s="52">
        <f t="shared" si="134"/>
        <v>3257.6840625</v>
      </c>
      <c r="P337" s="1">
        <f t="shared" si="135"/>
        <v>3260</v>
      </c>
    </row>
    <row r="338" spans="2:16" x14ac:dyDescent="0.25">
      <c r="B338" s="50" t="s">
        <v>2526</v>
      </c>
      <c r="C338" s="51" t="s">
        <v>2527</v>
      </c>
      <c r="D338" s="51" t="s">
        <v>1823</v>
      </c>
      <c r="E338" s="1">
        <v>6080</v>
      </c>
      <c r="F338" s="1">
        <v>0.05</v>
      </c>
      <c r="G338" s="1">
        <v>0.13</v>
      </c>
      <c r="H338" s="1">
        <f t="shared" si="129"/>
        <v>304</v>
      </c>
      <c r="I338" s="52">
        <f t="shared" si="130"/>
        <v>829.92000000000007</v>
      </c>
      <c r="J338" s="52">
        <f t="shared" si="131"/>
        <v>7213.92</v>
      </c>
      <c r="K338" s="53">
        <v>0.15</v>
      </c>
      <c r="L338" s="52">
        <f t="shared" si="132"/>
        <v>1082.088</v>
      </c>
      <c r="M338" s="52">
        <f t="shared" si="133"/>
        <v>8296.0079999999998</v>
      </c>
      <c r="N338" s="53">
        <v>0.2</v>
      </c>
      <c r="O338" s="52">
        <f t="shared" si="134"/>
        <v>10370.009999999998</v>
      </c>
      <c r="P338" s="1">
        <f t="shared" si="135"/>
        <v>10370</v>
      </c>
    </row>
    <row r="339" spans="2:16" x14ac:dyDescent="0.25">
      <c r="B339" s="50" t="s">
        <v>2498</v>
      </c>
      <c r="C339" s="51" t="s">
        <v>2528</v>
      </c>
      <c r="D339" s="51" t="s">
        <v>1823</v>
      </c>
      <c r="E339" s="1">
        <v>5940</v>
      </c>
      <c r="F339" s="1">
        <v>0.05</v>
      </c>
      <c r="G339" s="1">
        <v>0.13</v>
      </c>
      <c r="H339" s="1">
        <f t="shared" si="129"/>
        <v>297</v>
      </c>
      <c r="I339" s="52">
        <f t="shared" si="130"/>
        <v>810.81000000000006</v>
      </c>
      <c r="J339" s="52">
        <f t="shared" si="131"/>
        <v>7047.81</v>
      </c>
      <c r="K339" s="53">
        <v>0.15</v>
      </c>
      <c r="L339" s="52">
        <f t="shared" si="132"/>
        <v>1057.1714999999999</v>
      </c>
      <c r="M339" s="52">
        <f t="shared" si="133"/>
        <v>8104.9814999999999</v>
      </c>
      <c r="N339" s="53">
        <v>0.2</v>
      </c>
      <c r="O339" s="52">
        <f t="shared" si="134"/>
        <v>10131.226874999998</v>
      </c>
      <c r="P339" s="1">
        <f t="shared" si="135"/>
        <v>10130</v>
      </c>
    </row>
    <row r="340" spans="2:16" x14ac:dyDescent="0.25">
      <c r="B340" s="50" t="s">
        <v>2500</v>
      </c>
      <c r="C340" s="51" t="s">
        <v>2529</v>
      </c>
      <c r="D340" s="51" t="s">
        <v>1823</v>
      </c>
      <c r="E340" s="1">
        <v>6880</v>
      </c>
      <c r="F340" s="1">
        <v>0.05</v>
      </c>
      <c r="G340" s="1">
        <v>0.13</v>
      </c>
      <c r="H340" s="1">
        <f t="shared" si="129"/>
        <v>344</v>
      </c>
      <c r="I340" s="52">
        <f t="shared" si="130"/>
        <v>939.12</v>
      </c>
      <c r="J340" s="52">
        <f t="shared" si="131"/>
        <v>8163.12</v>
      </c>
      <c r="K340" s="53">
        <v>0.15</v>
      </c>
      <c r="L340" s="52">
        <f t="shared" si="132"/>
        <v>1224.4679999999998</v>
      </c>
      <c r="M340" s="52">
        <f t="shared" si="133"/>
        <v>9387.5879999999997</v>
      </c>
      <c r="N340" s="53">
        <v>0.2</v>
      </c>
      <c r="O340" s="52">
        <f t="shared" si="134"/>
        <v>11734.484999999999</v>
      </c>
      <c r="P340" s="1">
        <f t="shared" si="135"/>
        <v>11730</v>
      </c>
    </row>
    <row r="341" spans="2:16" x14ac:dyDescent="0.25">
      <c r="B341" s="50" t="s">
        <v>2502</v>
      </c>
      <c r="C341" s="51" t="s">
        <v>2530</v>
      </c>
      <c r="D341" s="51" t="s">
        <v>1823</v>
      </c>
      <c r="E341" s="1">
        <v>7240</v>
      </c>
      <c r="F341" s="1">
        <v>0.05</v>
      </c>
      <c r="G341" s="1">
        <v>0.13</v>
      </c>
      <c r="H341" s="1">
        <f t="shared" si="129"/>
        <v>362</v>
      </c>
      <c r="I341" s="52">
        <f t="shared" si="130"/>
        <v>988.26</v>
      </c>
      <c r="J341" s="52">
        <f t="shared" si="131"/>
        <v>8590.26</v>
      </c>
      <c r="K341" s="53">
        <v>0.15</v>
      </c>
      <c r="L341" s="52">
        <f t="shared" si="132"/>
        <v>1288.539</v>
      </c>
      <c r="M341" s="52">
        <f t="shared" si="133"/>
        <v>9878.7990000000009</v>
      </c>
      <c r="N341" s="53">
        <v>0.2</v>
      </c>
      <c r="O341" s="52">
        <f t="shared" si="134"/>
        <v>12348.498750000001</v>
      </c>
      <c r="P341" s="1">
        <f t="shared" si="135"/>
        <v>12350</v>
      </c>
    </row>
    <row r="342" spans="2:16" x14ac:dyDescent="0.25">
      <c r="B342" s="50" t="s">
        <v>2387</v>
      </c>
      <c r="C342" s="51" t="s">
        <v>2531</v>
      </c>
      <c r="D342" s="51" t="s">
        <v>1823</v>
      </c>
      <c r="E342" s="1">
        <v>4500</v>
      </c>
      <c r="F342" s="1">
        <v>0.05</v>
      </c>
      <c r="G342" s="1">
        <v>0.13</v>
      </c>
      <c r="H342" s="1">
        <f t="shared" si="129"/>
        <v>225</v>
      </c>
      <c r="I342" s="52">
        <f t="shared" si="130"/>
        <v>614.25</v>
      </c>
      <c r="J342" s="52">
        <f t="shared" si="131"/>
        <v>5339.25</v>
      </c>
      <c r="K342" s="53">
        <v>0.15</v>
      </c>
      <c r="L342" s="52">
        <f t="shared" si="132"/>
        <v>800.88749999999993</v>
      </c>
      <c r="M342" s="52">
        <f t="shared" si="133"/>
        <v>6140.1374999999998</v>
      </c>
      <c r="N342" s="53">
        <v>0.2</v>
      </c>
      <c r="O342" s="52">
        <f t="shared" si="134"/>
        <v>7675.1718749999991</v>
      </c>
      <c r="P342" s="1">
        <f t="shared" si="135"/>
        <v>7680</v>
      </c>
    </row>
    <row r="343" spans="2:16" x14ac:dyDescent="0.25">
      <c r="B343" s="50" t="s">
        <v>2420</v>
      </c>
      <c r="C343" s="51" t="s">
        <v>2532</v>
      </c>
      <c r="D343" s="51" t="s">
        <v>1823</v>
      </c>
      <c r="E343" s="1">
        <v>2350</v>
      </c>
      <c r="F343" s="1">
        <v>0.05</v>
      </c>
      <c r="G343" s="1">
        <v>0.13</v>
      </c>
      <c r="H343" s="1">
        <f t="shared" si="129"/>
        <v>117.5</v>
      </c>
      <c r="I343" s="52">
        <f t="shared" si="130"/>
        <v>320.77500000000003</v>
      </c>
      <c r="J343" s="52">
        <f t="shared" si="131"/>
        <v>2788.2750000000001</v>
      </c>
      <c r="K343" s="53">
        <v>0.15</v>
      </c>
      <c r="L343" s="52">
        <f t="shared" si="132"/>
        <v>418.24124999999998</v>
      </c>
      <c r="M343" s="52">
        <f t="shared" si="133"/>
        <v>3206.5162500000001</v>
      </c>
      <c r="N343" s="53">
        <v>0.2</v>
      </c>
      <c r="O343" s="52">
        <f t="shared" si="134"/>
        <v>4008.1453124999998</v>
      </c>
      <c r="P343" s="1">
        <f t="shared" si="135"/>
        <v>4010</v>
      </c>
    </row>
    <row r="344" spans="2:16" x14ac:dyDescent="0.25">
      <c r="B344" s="54" t="s">
        <v>2506</v>
      </c>
      <c r="C344" s="1" t="s">
        <v>2533</v>
      </c>
      <c r="D344" s="1" t="s">
        <v>1823</v>
      </c>
      <c r="E344" s="1">
        <v>3340</v>
      </c>
      <c r="F344" s="1">
        <v>0.05</v>
      </c>
      <c r="G344" s="1">
        <v>0.13</v>
      </c>
      <c r="H344" s="1">
        <f t="shared" si="129"/>
        <v>167</v>
      </c>
      <c r="I344" s="52">
        <f t="shared" si="130"/>
        <v>455.91</v>
      </c>
      <c r="J344" s="52">
        <f t="shared" si="131"/>
        <v>3962.91</v>
      </c>
      <c r="K344" s="53">
        <v>0.15</v>
      </c>
      <c r="L344" s="52">
        <f t="shared" si="132"/>
        <v>594.43649999999991</v>
      </c>
      <c r="M344" s="52">
        <f t="shared" si="133"/>
        <v>4557.3464999999997</v>
      </c>
      <c r="N344" s="53">
        <v>0.2</v>
      </c>
      <c r="O344" s="52">
        <f t="shared" si="134"/>
        <v>5696.6831249999996</v>
      </c>
      <c r="P344" s="1">
        <f t="shared" si="135"/>
        <v>5700</v>
      </c>
    </row>
    <row r="345" spans="2:16" x14ac:dyDescent="0.25">
      <c r="B345" s="50" t="s">
        <v>2508</v>
      </c>
      <c r="C345" s="51" t="s">
        <v>2534</v>
      </c>
      <c r="D345" s="51" t="s">
        <v>1823</v>
      </c>
      <c r="E345" s="1">
        <v>5890</v>
      </c>
      <c r="F345" s="1">
        <v>0.05</v>
      </c>
      <c r="G345" s="1">
        <v>0.13</v>
      </c>
      <c r="H345" s="1">
        <f t="shared" si="129"/>
        <v>294.5</v>
      </c>
      <c r="I345" s="52">
        <f t="shared" si="130"/>
        <v>803.98500000000001</v>
      </c>
      <c r="J345" s="52">
        <f t="shared" si="131"/>
        <v>6988.4849999999997</v>
      </c>
      <c r="K345" s="53">
        <v>0.15</v>
      </c>
      <c r="L345" s="52">
        <f t="shared" si="132"/>
        <v>1048.2727499999999</v>
      </c>
      <c r="M345" s="52">
        <f t="shared" si="133"/>
        <v>8036.7577499999998</v>
      </c>
      <c r="N345" s="53">
        <v>0.2</v>
      </c>
      <c r="O345" s="52">
        <f t="shared" si="134"/>
        <v>10045.9471875</v>
      </c>
      <c r="P345" s="1">
        <f t="shared" si="135"/>
        <v>10050</v>
      </c>
    </row>
    <row r="346" spans="2:16" x14ac:dyDescent="0.25">
      <c r="B346" s="54" t="s">
        <v>2510</v>
      </c>
      <c r="C346" s="1" t="s">
        <v>2535</v>
      </c>
      <c r="D346" s="1" t="s">
        <v>1823</v>
      </c>
      <c r="E346" s="1">
        <v>7210</v>
      </c>
      <c r="F346" s="1">
        <v>0.05</v>
      </c>
      <c r="G346" s="1">
        <v>0.13</v>
      </c>
      <c r="H346" s="1">
        <f t="shared" si="129"/>
        <v>360.5</v>
      </c>
      <c r="I346" s="52">
        <f t="shared" si="130"/>
        <v>984.16500000000008</v>
      </c>
      <c r="J346" s="52">
        <f t="shared" si="131"/>
        <v>8554.6650000000009</v>
      </c>
      <c r="K346" s="53">
        <v>0.15</v>
      </c>
      <c r="L346" s="52">
        <f t="shared" si="132"/>
        <v>1283.19975</v>
      </c>
      <c r="M346" s="52">
        <f t="shared" si="133"/>
        <v>9837.8647500000006</v>
      </c>
      <c r="N346" s="53">
        <v>0.2</v>
      </c>
      <c r="O346" s="52">
        <f t="shared" si="134"/>
        <v>12297.330937500001</v>
      </c>
      <c r="P346" s="1">
        <f t="shared" si="135"/>
        <v>12300</v>
      </c>
    </row>
    <row r="347" spans="2:16" x14ac:dyDescent="0.25">
      <c r="B347" s="54" t="s">
        <v>2512</v>
      </c>
      <c r="C347" s="1" t="s">
        <v>2536</v>
      </c>
      <c r="D347" s="1" t="s">
        <v>1823</v>
      </c>
      <c r="E347" s="1">
        <v>5700</v>
      </c>
      <c r="F347" s="1">
        <v>0.05</v>
      </c>
      <c r="G347" s="1">
        <v>0.13</v>
      </c>
      <c r="H347" s="1">
        <f t="shared" si="129"/>
        <v>285</v>
      </c>
      <c r="I347" s="52">
        <f t="shared" si="130"/>
        <v>778.05000000000007</v>
      </c>
      <c r="J347" s="52">
        <f t="shared" si="131"/>
        <v>6763.05</v>
      </c>
      <c r="K347" s="53">
        <v>0.15</v>
      </c>
      <c r="L347" s="52">
        <f t="shared" si="132"/>
        <v>1014.4575</v>
      </c>
      <c r="M347" s="52">
        <f t="shared" si="133"/>
        <v>7777.5074999999997</v>
      </c>
      <c r="N347" s="53">
        <v>0.2</v>
      </c>
      <c r="O347" s="52">
        <f t="shared" si="134"/>
        <v>9721.8843749999996</v>
      </c>
      <c r="P347" s="1">
        <f t="shared" si="135"/>
        <v>9720</v>
      </c>
    </row>
    <row r="348" spans="2:16" x14ac:dyDescent="0.25">
      <c r="B348" s="54" t="s">
        <v>2537</v>
      </c>
      <c r="C348" s="1" t="s">
        <v>2538</v>
      </c>
      <c r="D348" s="1" t="s">
        <v>1823</v>
      </c>
      <c r="E348" s="1">
        <v>6210</v>
      </c>
      <c r="F348" s="1">
        <v>0.05</v>
      </c>
      <c r="G348" s="1">
        <v>0.13</v>
      </c>
      <c r="H348" s="1">
        <f t="shared" si="129"/>
        <v>310.5</v>
      </c>
      <c r="I348" s="52">
        <f t="shared" si="130"/>
        <v>847.66500000000008</v>
      </c>
      <c r="J348" s="52">
        <f t="shared" si="131"/>
        <v>7368.165</v>
      </c>
      <c r="K348" s="53">
        <v>0.15</v>
      </c>
      <c r="L348" s="52">
        <f t="shared" si="132"/>
        <v>1105.2247499999999</v>
      </c>
      <c r="M348" s="52">
        <f t="shared" si="133"/>
        <v>8473.3897500000003</v>
      </c>
      <c r="N348" s="53">
        <v>0.2</v>
      </c>
      <c r="O348" s="52">
        <f t="shared" si="134"/>
        <v>10591.737187499999</v>
      </c>
      <c r="P348" s="1">
        <f t="shared" si="135"/>
        <v>10590</v>
      </c>
    </row>
    <row r="349" spans="2:16" x14ac:dyDescent="0.25">
      <c r="B349" s="50" t="s">
        <v>2514</v>
      </c>
      <c r="C349" s="51" t="s">
        <v>2539</v>
      </c>
      <c r="D349" s="51" t="s">
        <v>1823</v>
      </c>
      <c r="E349" s="1">
        <v>8090</v>
      </c>
      <c r="F349" s="1">
        <v>0.05</v>
      </c>
      <c r="G349" s="1">
        <v>0.13</v>
      </c>
      <c r="H349" s="1">
        <f t="shared" si="129"/>
        <v>404.5</v>
      </c>
      <c r="I349" s="52">
        <f t="shared" si="130"/>
        <v>1104.2850000000001</v>
      </c>
      <c r="J349" s="52">
        <f t="shared" si="131"/>
        <v>9598.7849999999999</v>
      </c>
      <c r="K349" s="53">
        <v>0.15</v>
      </c>
      <c r="L349" s="52">
        <f t="shared" si="132"/>
        <v>1439.8177499999999</v>
      </c>
      <c r="M349" s="52">
        <f t="shared" si="133"/>
        <v>11038.60275</v>
      </c>
      <c r="N349" s="53">
        <v>0.2</v>
      </c>
      <c r="O349" s="52">
        <f t="shared" si="134"/>
        <v>13798.2534375</v>
      </c>
      <c r="P349" s="1">
        <f t="shared" si="135"/>
        <v>13800</v>
      </c>
    </row>
    <row r="350" spans="2:16" x14ac:dyDescent="0.25">
      <c r="B350" s="125" t="s">
        <v>2540</v>
      </c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</row>
    <row r="351" spans="2:16" x14ac:dyDescent="0.25">
      <c r="B351" s="50" t="s">
        <v>2294</v>
      </c>
      <c r="C351" s="51" t="s">
        <v>2541</v>
      </c>
      <c r="D351" s="51" t="s">
        <v>2540</v>
      </c>
      <c r="E351" s="1">
        <v>1090</v>
      </c>
      <c r="F351" s="1">
        <v>0.05</v>
      </c>
      <c r="G351" s="1">
        <v>0.13</v>
      </c>
      <c r="H351" s="1">
        <f t="shared" ref="H351:H373" si="136">F351*E351</f>
        <v>54.5</v>
      </c>
      <c r="I351" s="52">
        <f t="shared" ref="I351:I373" si="137">G351*(E351+H351)</f>
        <v>148.785</v>
      </c>
      <c r="J351" s="52">
        <f t="shared" ref="J351:J373" si="138">E351+H351+I351</f>
        <v>1293.2850000000001</v>
      </c>
      <c r="K351" s="53">
        <v>0.15</v>
      </c>
      <c r="L351" s="52">
        <f t="shared" ref="L351:L373" si="139">J351*K351</f>
        <v>193.99275</v>
      </c>
      <c r="M351" s="52">
        <f t="shared" ref="M351:M373" si="140">J351+L351</f>
        <v>1487.2777500000002</v>
      </c>
      <c r="N351" s="53">
        <v>0.2</v>
      </c>
      <c r="O351" s="52">
        <f t="shared" ref="O351:O373" si="141">$M351/(1-N351)</f>
        <v>1859.0971875000002</v>
      </c>
      <c r="P351" s="1">
        <f t="shared" ref="P351:P373" si="142">MROUND(O351,10)</f>
        <v>1860</v>
      </c>
    </row>
    <row r="352" spans="2:16" x14ac:dyDescent="0.25">
      <c r="B352" s="50" t="s">
        <v>2294</v>
      </c>
      <c r="C352" s="51" t="s">
        <v>2541</v>
      </c>
      <c r="D352" s="51" t="s">
        <v>2540</v>
      </c>
      <c r="E352" s="1">
        <v>1090</v>
      </c>
      <c r="F352" s="1">
        <v>0.05</v>
      </c>
      <c r="G352" s="1">
        <v>0.13</v>
      </c>
      <c r="H352" s="1">
        <f t="shared" si="136"/>
        <v>54.5</v>
      </c>
      <c r="I352" s="52">
        <f t="shared" si="137"/>
        <v>148.785</v>
      </c>
      <c r="J352" s="52">
        <f t="shared" si="138"/>
        <v>1293.2850000000001</v>
      </c>
      <c r="K352" s="53">
        <v>0.15</v>
      </c>
      <c r="L352" s="52">
        <f t="shared" si="139"/>
        <v>193.99275</v>
      </c>
      <c r="M352" s="52">
        <f t="shared" si="140"/>
        <v>1487.2777500000002</v>
      </c>
      <c r="N352" s="53">
        <v>0.2</v>
      </c>
      <c r="O352" s="52">
        <f t="shared" si="141"/>
        <v>1859.0971875000002</v>
      </c>
      <c r="P352" s="1">
        <f t="shared" si="142"/>
        <v>1860</v>
      </c>
    </row>
    <row r="353" spans="2:16" x14ac:dyDescent="0.25">
      <c r="B353" s="50" t="s">
        <v>2284</v>
      </c>
      <c r="C353" s="51" t="s">
        <v>2542</v>
      </c>
      <c r="D353" s="51" t="s">
        <v>2540</v>
      </c>
      <c r="E353" s="1">
        <v>1830</v>
      </c>
      <c r="F353" s="1">
        <v>0.05</v>
      </c>
      <c r="G353" s="1">
        <v>0.13</v>
      </c>
      <c r="H353" s="1">
        <f t="shared" si="136"/>
        <v>91.5</v>
      </c>
      <c r="I353" s="52">
        <f t="shared" si="137"/>
        <v>249.79500000000002</v>
      </c>
      <c r="J353" s="52">
        <f t="shared" si="138"/>
        <v>2171.2950000000001</v>
      </c>
      <c r="K353" s="53">
        <v>0.15</v>
      </c>
      <c r="L353" s="52">
        <f t="shared" si="139"/>
        <v>325.69425000000001</v>
      </c>
      <c r="M353" s="52">
        <f t="shared" si="140"/>
        <v>2496.9892500000001</v>
      </c>
      <c r="N353" s="53">
        <v>0.2</v>
      </c>
      <c r="O353" s="52">
        <f t="shared" si="141"/>
        <v>3121.2365624999998</v>
      </c>
      <c r="P353" s="1">
        <f t="shared" si="142"/>
        <v>3120</v>
      </c>
    </row>
    <row r="354" spans="2:16" x14ac:dyDescent="0.25">
      <c r="B354" s="50" t="s">
        <v>2286</v>
      </c>
      <c r="C354" s="51" t="s">
        <v>2543</v>
      </c>
      <c r="D354" s="51" t="s">
        <v>2540</v>
      </c>
      <c r="E354" s="1">
        <v>2000</v>
      </c>
      <c r="F354" s="1">
        <v>0.05</v>
      </c>
      <c r="G354" s="1">
        <v>0.13</v>
      </c>
      <c r="H354" s="1">
        <f t="shared" si="136"/>
        <v>100</v>
      </c>
      <c r="I354" s="52">
        <f t="shared" si="137"/>
        <v>273</v>
      </c>
      <c r="J354" s="52">
        <f t="shared" si="138"/>
        <v>2373</v>
      </c>
      <c r="K354" s="53">
        <v>0.15</v>
      </c>
      <c r="L354" s="52">
        <f t="shared" si="139"/>
        <v>355.95</v>
      </c>
      <c r="M354" s="52">
        <f t="shared" si="140"/>
        <v>2728.95</v>
      </c>
      <c r="N354" s="53">
        <v>0.2</v>
      </c>
      <c r="O354" s="52">
        <f t="shared" si="141"/>
        <v>3411.1874999999995</v>
      </c>
      <c r="P354" s="1">
        <f t="shared" si="142"/>
        <v>3410</v>
      </c>
    </row>
    <row r="355" spans="2:16" x14ac:dyDescent="0.25">
      <c r="B355" s="50" t="s">
        <v>2544</v>
      </c>
      <c r="C355" s="51" t="s">
        <v>2545</v>
      </c>
      <c r="D355" s="51" t="s">
        <v>2540</v>
      </c>
      <c r="E355" s="1">
        <v>1910</v>
      </c>
      <c r="F355" s="1">
        <v>0.05</v>
      </c>
      <c r="G355" s="1">
        <v>0.13</v>
      </c>
      <c r="H355" s="1">
        <f t="shared" si="136"/>
        <v>95.5</v>
      </c>
      <c r="I355" s="52">
        <f t="shared" si="137"/>
        <v>260.71500000000003</v>
      </c>
      <c r="J355" s="52">
        <f t="shared" si="138"/>
        <v>2266.2150000000001</v>
      </c>
      <c r="K355" s="53">
        <v>0.15</v>
      </c>
      <c r="L355" s="52">
        <f t="shared" si="139"/>
        <v>339.93225000000001</v>
      </c>
      <c r="M355" s="52">
        <f t="shared" si="140"/>
        <v>2606.14725</v>
      </c>
      <c r="N355" s="53">
        <v>0.2</v>
      </c>
      <c r="O355" s="52">
        <f t="shared" si="141"/>
        <v>3257.6840625</v>
      </c>
      <c r="P355" s="1">
        <f t="shared" si="142"/>
        <v>3260</v>
      </c>
    </row>
    <row r="356" spans="2:16" x14ac:dyDescent="0.25">
      <c r="B356" s="50" t="s">
        <v>2544</v>
      </c>
      <c r="C356" s="51" t="s">
        <v>2545</v>
      </c>
      <c r="D356" s="51" t="s">
        <v>2540</v>
      </c>
      <c r="E356" s="1">
        <v>1910</v>
      </c>
      <c r="F356" s="1">
        <v>0.05</v>
      </c>
      <c r="G356" s="1">
        <v>0.13</v>
      </c>
      <c r="H356" s="1">
        <f t="shared" si="136"/>
        <v>95.5</v>
      </c>
      <c r="I356" s="52">
        <f t="shared" si="137"/>
        <v>260.71500000000003</v>
      </c>
      <c r="J356" s="52">
        <f t="shared" si="138"/>
        <v>2266.2150000000001</v>
      </c>
      <c r="K356" s="53">
        <v>0.15</v>
      </c>
      <c r="L356" s="52">
        <f t="shared" si="139"/>
        <v>339.93225000000001</v>
      </c>
      <c r="M356" s="52">
        <f t="shared" si="140"/>
        <v>2606.14725</v>
      </c>
      <c r="N356" s="53">
        <v>0.2</v>
      </c>
      <c r="O356" s="52">
        <f t="shared" si="141"/>
        <v>3257.6840625</v>
      </c>
      <c r="P356" s="1">
        <f t="shared" si="142"/>
        <v>3260</v>
      </c>
    </row>
    <row r="357" spans="2:16" x14ac:dyDescent="0.25">
      <c r="B357" s="50" t="s">
        <v>2257</v>
      </c>
      <c r="C357" s="51" t="s">
        <v>2546</v>
      </c>
      <c r="D357" s="51" t="s">
        <v>2540</v>
      </c>
      <c r="E357" s="1">
        <v>790</v>
      </c>
      <c r="F357" s="1">
        <v>0.05</v>
      </c>
      <c r="G357" s="1">
        <v>0.13</v>
      </c>
      <c r="H357" s="1">
        <f t="shared" si="136"/>
        <v>39.5</v>
      </c>
      <c r="I357" s="52">
        <f t="shared" si="137"/>
        <v>107.83500000000001</v>
      </c>
      <c r="J357" s="52">
        <f t="shared" si="138"/>
        <v>937.33500000000004</v>
      </c>
      <c r="K357" s="53">
        <v>0.15</v>
      </c>
      <c r="L357" s="52">
        <f t="shared" si="139"/>
        <v>140.60024999999999</v>
      </c>
      <c r="M357" s="52">
        <f t="shared" si="140"/>
        <v>1077.93525</v>
      </c>
      <c r="N357" s="53">
        <v>0.2</v>
      </c>
      <c r="O357" s="52">
        <f t="shared" si="141"/>
        <v>1347.4190624999999</v>
      </c>
      <c r="P357" s="1">
        <f t="shared" si="142"/>
        <v>1350</v>
      </c>
    </row>
    <row r="358" spans="2:16" x14ac:dyDescent="0.25">
      <c r="B358" s="50" t="s">
        <v>2257</v>
      </c>
      <c r="C358" s="51" t="s">
        <v>2546</v>
      </c>
      <c r="D358" s="51" t="s">
        <v>2540</v>
      </c>
      <c r="E358" s="1">
        <v>790</v>
      </c>
      <c r="F358" s="1">
        <v>0.05</v>
      </c>
      <c r="G358" s="1">
        <v>0.13</v>
      </c>
      <c r="H358" s="1">
        <f t="shared" si="136"/>
        <v>39.5</v>
      </c>
      <c r="I358" s="52">
        <f t="shared" si="137"/>
        <v>107.83500000000001</v>
      </c>
      <c r="J358" s="52">
        <f t="shared" si="138"/>
        <v>937.33500000000004</v>
      </c>
      <c r="K358" s="53">
        <v>0.15</v>
      </c>
      <c r="L358" s="52">
        <f t="shared" si="139"/>
        <v>140.60024999999999</v>
      </c>
      <c r="M358" s="52">
        <f t="shared" si="140"/>
        <v>1077.93525</v>
      </c>
      <c r="N358" s="53">
        <v>0.2</v>
      </c>
      <c r="O358" s="52">
        <f t="shared" si="141"/>
        <v>1347.4190624999999</v>
      </c>
      <c r="P358" s="1">
        <f t="shared" si="142"/>
        <v>1350</v>
      </c>
    </row>
    <row r="359" spans="2:16" x14ac:dyDescent="0.25">
      <c r="B359" s="50" t="s">
        <v>2547</v>
      </c>
      <c r="C359" s="51" t="s">
        <v>2548</v>
      </c>
      <c r="D359" s="51" t="s">
        <v>2540</v>
      </c>
      <c r="E359" s="1">
        <v>1870</v>
      </c>
      <c r="F359" s="1">
        <v>0.05</v>
      </c>
      <c r="G359" s="1">
        <v>0.13</v>
      </c>
      <c r="H359" s="1">
        <f t="shared" si="136"/>
        <v>93.5</v>
      </c>
      <c r="I359" s="52">
        <f t="shared" si="137"/>
        <v>255.255</v>
      </c>
      <c r="J359" s="52">
        <f t="shared" si="138"/>
        <v>2218.7550000000001</v>
      </c>
      <c r="K359" s="53">
        <v>0.15</v>
      </c>
      <c r="L359" s="52">
        <f t="shared" si="139"/>
        <v>332.81324999999998</v>
      </c>
      <c r="M359" s="52">
        <f t="shared" si="140"/>
        <v>2551.5682500000003</v>
      </c>
      <c r="N359" s="53">
        <v>0.2</v>
      </c>
      <c r="O359" s="52">
        <f t="shared" si="141"/>
        <v>3189.4603125000003</v>
      </c>
      <c r="P359" s="1">
        <f t="shared" si="142"/>
        <v>3190</v>
      </c>
    </row>
    <row r="360" spans="2:16" x14ac:dyDescent="0.25">
      <c r="B360" s="50" t="s">
        <v>2547</v>
      </c>
      <c r="C360" s="51" t="s">
        <v>2548</v>
      </c>
      <c r="D360" s="51" t="s">
        <v>2540</v>
      </c>
      <c r="E360" s="1">
        <v>1870</v>
      </c>
      <c r="F360" s="1">
        <v>0.05</v>
      </c>
      <c r="G360" s="1">
        <v>0.13</v>
      </c>
      <c r="H360" s="1">
        <f t="shared" si="136"/>
        <v>93.5</v>
      </c>
      <c r="I360" s="52">
        <f t="shared" si="137"/>
        <v>255.255</v>
      </c>
      <c r="J360" s="52">
        <f t="shared" si="138"/>
        <v>2218.7550000000001</v>
      </c>
      <c r="K360" s="53">
        <v>0.15</v>
      </c>
      <c r="L360" s="52">
        <f t="shared" si="139"/>
        <v>332.81324999999998</v>
      </c>
      <c r="M360" s="52">
        <f t="shared" si="140"/>
        <v>2551.5682500000003</v>
      </c>
      <c r="N360" s="53">
        <v>0.2</v>
      </c>
      <c r="O360" s="52">
        <f t="shared" si="141"/>
        <v>3189.4603125000003</v>
      </c>
      <c r="P360" s="1">
        <f t="shared" si="142"/>
        <v>3190</v>
      </c>
    </row>
    <row r="361" spans="2:16" x14ac:dyDescent="0.25">
      <c r="B361" s="50" t="s">
        <v>2549</v>
      </c>
      <c r="C361" s="51" t="s">
        <v>2550</v>
      </c>
      <c r="D361" s="51" t="s">
        <v>2540</v>
      </c>
      <c r="E361" s="1">
        <v>2340</v>
      </c>
      <c r="F361" s="1">
        <v>0.05</v>
      </c>
      <c r="G361" s="1">
        <v>0.13</v>
      </c>
      <c r="H361" s="1">
        <f t="shared" si="136"/>
        <v>117</v>
      </c>
      <c r="I361" s="52">
        <f t="shared" si="137"/>
        <v>319.41000000000003</v>
      </c>
      <c r="J361" s="52">
        <f t="shared" si="138"/>
        <v>2776.41</v>
      </c>
      <c r="K361" s="53">
        <v>0.15</v>
      </c>
      <c r="L361" s="52">
        <f t="shared" si="139"/>
        <v>416.46149999999994</v>
      </c>
      <c r="M361" s="52">
        <f t="shared" si="140"/>
        <v>3192.8714999999997</v>
      </c>
      <c r="N361" s="53">
        <v>0.2</v>
      </c>
      <c r="O361" s="52">
        <f t="shared" si="141"/>
        <v>3991.0893749999996</v>
      </c>
      <c r="P361" s="1">
        <f t="shared" si="142"/>
        <v>3990</v>
      </c>
    </row>
    <row r="362" spans="2:16" x14ac:dyDescent="0.25">
      <c r="B362" s="50" t="s">
        <v>2549</v>
      </c>
      <c r="C362" s="51" t="s">
        <v>2550</v>
      </c>
      <c r="D362" s="51" t="s">
        <v>2540</v>
      </c>
      <c r="E362" s="1">
        <v>2340</v>
      </c>
      <c r="F362" s="1">
        <v>0.05</v>
      </c>
      <c r="G362" s="1">
        <v>0.13</v>
      </c>
      <c r="H362" s="1">
        <f t="shared" si="136"/>
        <v>117</v>
      </c>
      <c r="I362" s="52">
        <f t="shared" si="137"/>
        <v>319.41000000000003</v>
      </c>
      <c r="J362" s="52">
        <f t="shared" si="138"/>
        <v>2776.41</v>
      </c>
      <c r="K362" s="53">
        <v>0.15</v>
      </c>
      <c r="L362" s="52">
        <f t="shared" si="139"/>
        <v>416.46149999999994</v>
      </c>
      <c r="M362" s="52">
        <f t="shared" si="140"/>
        <v>3192.8714999999997</v>
      </c>
      <c r="N362" s="53">
        <v>0.2</v>
      </c>
      <c r="O362" s="52">
        <f t="shared" si="141"/>
        <v>3991.0893749999996</v>
      </c>
      <c r="P362" s="1">
        <f t="shared" si="142"/>
        <v>3990</v>
      </c>
    </row>
    <row r="363" spans="2:16" x14ac:dyDescent="0.25">
      <c r="B363" s="50" t="s">
        <v>2551</v>
      </c>
      <c r="C363" s="51" t="s">
        <v>2552</v>
      </c>
      <c r="D363" s="51" t="s">
        <v>2540</v>
      </c>
      <c r="E363" s="1">
        <v>3960</v>
      </c>
      <c r="F363" s="1">
        <v>0.05</v>
      </c>
      <c r="G363" s="1">
        <v>0.13</v>
      </c>
      <c r="H363" s="1">
        <f t="shared" si="136"/>
        <v>198</v>
      </c>
      <c r="I363" s="52">
        <f t="shared" si="137"/>
        <v>540.54</v>
      </c>
      <c r="J363" s="52">
        <f t="shared" si="138"/>
        <v>4698.54</v>
      </c>
      <c r="K363" s="53">
        <v>0.15</v>
      </c>
      <c r="L363" s="52">
        <f t="shared" si="139"/>
        <v>704.78099999999995</v>
      </c>
      <c r="M363" s="52">
        <f t="shared" si="140"/>
        <v>5403.3209999999999</v>
      </c>
      <c r="N363" s="53">
        <v>0.2</v>
      </c>
      <c r="O363" s="52">
        <f t="shared" si="141"/>
        <v>6754.1512499999999</v>
      </c>
      <c r="P363" s="1">
        <f t="shared" si="142"/>
        <v>6750</v>
      </c>
    </row>
    <row r="364" spans="2:16" x14ac:dyDescent="0.25">
      <c r="B364" s="50" t="s">
        <v>2551</v>
      </c>
      <c r="C364" s="51" t="s">
        <v>2552</v>
      </c>
      <c r="D364" s="51" t="s">
        <v>2540</v>
      </c>
      <c r="E364" s="1">
        <v>3960</v>
      </c>
      <c r="F364" s="1">
        <v>0.05</v>
      </c>
      <c r="G364" s="1">
        <v>0.13</v>
      </c>
      <c r="H364" s="1">
        <f t="shared" si="136"/>
        <v>198</v>
      </c>
      <c r="I364" s="52">
        <f t="shared" si="137"/>
        <v>540.54</v>
      </c>
      <c r="J364" s="52">
        <f t="shared" si="138"/>
        <v>4698.54</v>
      </c>
      <c r="K364" s="53">
        <v>0.15</v>
      </c>
      <c r="L364" s="52">
        <f t="shared" si="139"/>
        <v>704.78099999999995</v>
      </c>
      <c r="M364" s="52">
        <f t="shared" si="140"/>
        <v>5403.3209999999999</v>
      </c>
      <c r="N364" s="53">
        <v>0.2</v>
      </c>
      <c r="O364" s="52">
        <f t="shared" si="141"/>
        <v>6754.1512499999999</v>
      </c>
      <c r="P364" s="1">
        <f t="shared" si="142"/>
        <v>6750</v>
      </c>
    </row>
    <row r="365" spans="2:16" x14ac:dyDescent="0.25">
      <c r="B365" s="50" t="s">
        <v>2553</v>
      </c>
      <c r="C365" s="51" t="s">
        <v>2554</v>
      </c>
      <c r="D365" s="51" t="s">
        <v>2540</v>
      </c>
      <c r="E365" s="1">
        <v>4580</v>
      </c>
      <c r="F365" s="1">
        <v>0.05</v>
      </c>
      <c r="G365" s="1">
        <v>0.13</v>
      </c>
      <c r="H365" s="1">
        <f t="shared" si="136"/>
        <v>229</v>
      </c>
      <c r="I365" s="52">
        <f t="shared" si="137"/>
        <v>625.17000000000007</v>
      </c>
      <c r="J365" s="52">
        <f t="shared" si="138"/>
        <v>5434.17</v>
      </c>
      <c r="K365" s="53">
        <v>0.15</v>
      </c>
      <c r="L365" s="52">
        <f t="shared" si="139"/>
        <v>815.12549999999999</v>
      </c>
      <c r="M365" s="52">
        <f t="shared" si="140"/>
        <v>6249.2955000000002</v>
      </c>
      <c r="N365" s="53">
        <v>0.2</v>
      </c>
      <c r="O365" s="52">
        <f t="shared" si="141"/>
        <v>7811.6193750000002</v>
      </c>
      <c r="P365" s="1">
        <f t="shared" si="142"/>
        <v>7810</v>
      </c>
    </row>
    <row r="366" spans="2:16" x14ac:dyDescent="0.25">
      <c r="B366" s="54" t="s">
        <v>2429</v>
      </c>
      <c r="C366" s="1" t="s">
        <v>2555</v>
      </c>
      <c r="D366" s="1" t="s">
        <v>2540</v>
      </c>
      <c r="E366" s="1">
        <v>5280</v>
      </c>
      <c r="F366" s="1">
        <v>0.05</v>
      </c>
      <c r="G366" s="1">
        <v>0.13</v>
      </c>
      <c r="H366" s="1">
        <f t="shared" si="136"/>
        <v>264</v>
      </c>
      <c r="I366" s="52">
        <f t="shared" si="137"/>
        <v>720.72</v>
      </c>
      <c r="J366" s="52">
        <f t="shared" si="138"/>
        <v>6264.72</v>
      </c>
      <c r="K366" s="53">
        <v>0.15</v>
      </c>
      <c r="L366" s="52">
        <f t="shared" si="139"/>
        <v>939.70799999999997</v>
      </c>
      <c r="M366" s="52">
        <f t="shared" si="140"/>
        <v>7204.4279999999999</v>
      </c>
      <c r="N366" s="53">
        <v>0.2</v>
      </c>
      <c r="O366" s="52">
        <f t="shared" si="141"/>
        <v>9005.5349999999999</v>
      </c>
      <c r="P366" s="1">
        <f t="shared" si="142"/>
        <v>9010</v>
      </c>
    </row>
    <row r="367" spans="2:16" x14ac:dyDescent="0.25">
      <c r="B367" s="50" t="s">
        <v>2387</v>
      </c>
      <c r="C367" s="51" t="s">
        <v>2556</v>
      </c>
      <c r="D367" s="51" t="s">
        <v>2540</v>
      </c>
      <c r="E367" s="1">
        <v>3980</v>
      </c>
      <c r="F367" s="1">
        <v>0.05</v>
      </c>
      <c r="G367" s="1">
        <v>0.13</v>
      </c>
      <c r="H367" s="1">
        <f t="shared" si="136"/>
        <v>199</v>
      </c>
      <c r="I367" s="52">
        <f t="shared" si="137"/>
        <v>543.27</v>
      </c>
      <c r="J367" s="52">
        <f t="shared" si="138"/>
        <v>4722.2700000000004</v>
      </c>
      <c r="K367" s="53">
        <v>0.15</v>
      </c>
      <c r="L367" s="52">
        <f t="shared" si="139"/>
        <v>708.34050000000002</v>
      </c>
      <c r="M367" s="52">
        <f t="shared" si="140"/>
        <v>5430.6105000000007</v>
      </c>
      <c r="N367" s="53">
        <v>0.2</v>
      </c>
      <c r="O367" s="52">
        <f t="shared" si="141"/>
        <v>6788.2631250000004</v>
      </c>
      <c r="P367" s="1">
        <f t="shared" si="142"/>
        <v>6790</v>
      </c>
    </row>
    <row r="368" spans="2:16" x14ac:dyDescent="0.25">
      <c r="B368" s="50" t="s">
        <v>2387</v>
      </c>
      <c r="C368" s="51" t="s">
        <v>2556</v>
      </c>
      <c r="D368" s="51" t="s">
        <v>2540</v>
      </c>
      <c r="E368" s="1">
        <v>3980</v>
      </c>
      <c r="F368" s="1">
        <v>0.05</v>
      </c>
      <c r="G368" s="1">
        <v>0.13</v>
      </c>
      <c r="H368" s="1">
        <f t="shared" si="136"/>
        <v>199</v>
      </c>
      <c r="I368" s="52">
        <f t="shared" si="137"/>
        <v>543.27</v>
      </c>
      <c r="J368" s="52">
        <f t="shared" si="138"/>
        <v>4722.2700000000004</v>
      </c>
      <c r="K368" s="53">
        <v>0.15</v>
      </c>
      <c r="L368" s="52">
        <f t="shared" si="139"/>
        <v>708.34050000000002</v>
      </c>
      <c r="M368" s="52">
        <f t="shared" si="140"/>
        <v>5430.6105000000007</v>
      </c>
      <c r="N368" s="53">
        <v>0.2</v>
      </c>
      <c r="O368" s="52">
        <f t="shared" si="141"/>
        <v>6788.2631250000004</v>
      </c>
      <c r="P368" s="1">
        <f t="shared" si="142"/>
        <v>6790</v>
      </c>
    </row>
    <row r="369" spans="2:16" x14ac:dyDescent="0.25">
      <c r="B369" s="50" t="s">
        <v>2491</v>
      </c>
      <c r="C369" s="51" t="s">
        <v>2557</v>
      </c>
      <c r="D369" s="51" t="s">
        <v>2540</v>
      </c>
      <c r="E369" s="1">
        <v>1450</v>
      </c>
      <c r="F369" s="1">
        <v>0.05</v>
      </c>
      <c r="G369" s="1">
        <v>0.13</v>
      </c>
      <c r="H369" s="1">
        <f t="shared" si="136"/>
        <v>72.5</v>
      </c>
      <c r="I369" s="52">
        <f t="shared" si="137"/>
        <v>197.92500000000001</v>
      </c>
      <c r="J369" s="52">
        <f t="shared" si="138"/>
        <v>1720.425</v>
      </c>
      <c r="K369" s="53">
        <v>0.15</v>
      </c>
      <c r="L369" s="52">
        <f t="shared" si="139"/>
        <v>258.06374999999997</v>
      </c>
      <c r="M369" s="52">
        <f t="shared" si="140"/>
        <v>1978.48875</v>
      </c>
      <c r="N369" s="53">
        <v>0.2</v>
      </c>
      <c r="O369" s="52">
        <f t="shared" si="141"/>
        <v>2473.1109374999996</v>
      </c>
      <c r="P369" s="1">
        <f t="shared" si="142"/>
        <v>2470</v>
      </c>
    </row>
    <row r="370" spans="2:16" x14ac:dyDescent="0.25">
      <c r="B370" s="50" t="s">
        <v>2284</v>
      </c>
      <c r="C370" s="51" t="s">
        <v>2558</v>
      </c>
      <c r="D370" s="51" t="s">
        <v>2540</v>
      </c>
      <c r="E370" s="1">
        <v>1830</v>
      </c>
      <c r="F370" s="1">
        <v>0.05</v>
      </c>
      <c r="G370" s="1">
        <v>0.13</v>
      </c>
      <c r="H370" s="1">
        <f t="shared" si="136"/>
        <v>91.5</v>
      </c>
      <c r="I370" s="52">
        <f t="shared" si="137"/>
        <v>249.79500000000002</v>
      </c>
      <c r="J370" s="52">
        <f t="shared" si="138"/>
        <v>2171.2950000000001</v>
      </c>
      <c r="K370" s="53">
        <v>0.15</v>
      </c>
      <c r="L370" s="52">
        <f t="shared" si="139"/>
        <v>325.69425000000001</v>
      </c>
      <c r="M370" s="52">
        <f t="shared" si="140"/>
        <v>2496.9892500000001</v>
      </c>
      <c r="N370" s="53">
        <v>0.2</v>
      </c>
      <c r="O370" s="52">
        <f t="shared" si="141"/>
        <v>3121.2365624999998</v>
      </c>
      <c r="P370" s="1">
        <f t="shared" si="142"/>
        <v>3120</v>
      </c>
    </row>
    <row r="371" spans="2:16" x14ac:dyDescent="0.25">
      <c r="B371" s="50" t="s">
        <v>2286</v>
      </c>
      <c r="C371" s="51" t="s">
        <v>2559</v>
      </c>
      <c r="D371" s="51" t="s">
        <v>2540</v>
      </c>
      <c r="E371" s="1">
        <v>2000</v>
      </c>
      <c r="F371" s="1">
        <v>0.05</v>
      </c>
      <c r="G371" s="1">
        <v>0.13</v>
      </c>
      <c r="H371" s="1">
        <f t="shared" si="136"/>
        <v>100</v>
      </c>
      <c r="I371" s="52">
        <f t="shared" si="137"/>
        <v>273</v>
      </c>
      <c r="J371" s="52">
        <f t="shared" si="138"/>
        <v>2373</v>
      </c>
      <c r="K371" s="53">
        <v>0.15</v>
      </c>
      <c r="L371" s="52">
        <f t="shared" si="139"/>
        <v>355.95</v>
      </c>
      <c r="M371" s="52">
        <f t="shared" si="140"/>
        <v>2728.95</v>
      </c>
      <c r="N371" s="53">
        <v>0.2</v>
      </c>
      <c r="O371" s="52">
        <f t="shared" si="141"/>
        <v>3411.1874999999995</v>
      </c>
      <c r="P371" s="1">
        <f t="shared" si="142"/>
        <v>3410</v>
      </c>
    </row>
    <row r="372" spans="2:16" x14ac:dyDescent="0.25">
      <c r="B372" s="50" t="s">
        <v>2506</v>
      </c>
      <c r="C372" s="51" t="s">
        <v>2560</v>
      </c>
      <c r="D372" s="51" t="s">
        <v>2540</v>
      </c>
      <c r="E372" s="1">
        <v>2540</v>
      </c>
      <c r="F372" s="1">
        <v>0.05</v>
      </c>
      <c r="G372" s="1">
        <v>0.13</v>
      </c>
      <c r="H372" s="1">
        <f t="shared" si="136"/>
        <v>127</v>
      </c>
      <c r="I372" s="52">
        <f t="shared" si="137"/>
        <v>346.71000000000004</v>
      </c>
      <c r="J372" s="52">
        <f t="shared" si="138"/>
        <v>3013.71</v>
      </c>
      <c r="K372" s="53">
        <v>0.15</v>
      </c>
      <c r="L372" s="52">
        <f t="shared" si="139"/>
        <v>452.05649999999997</v>
      </c>
      <c r="M372" s="52">
        <f t="shared" si="140"/>
        <v>3465.7665000000002</v>
      </c>
      <c r="N372" s="53">
        <v>0.2</v>
      </c>
      <c r="O372" s="52">
        <f t="shared" si="141"/>
        <v>4332.2081250000001</v>
      </c>
      <c r="P372" s="1">
        <f t="shared" si="142"/>
        <v>4330</v>
      </c>
    </row>
    <row r="373" spans="2:16" x14ac:dyDescent="0.25">
      <c r="B373" s="50" t="s">
        <v>2553</v>
      </c>
      <c r="C373" s="51" t="s">
        <v>2561</v>
      </c>
      <c r="D373" s="51" t="s">
        <v>2540</v>
      </c>
      <c r="E373" s="1">
        <v>4580</v>
      </c>
      <c r="F373" s="1">
        <v>0.05</v>
      </c>
      <c r="G373" s="1">
        <v>0.13</v>
      </c>
      <c r="H373" s="1">
        <f t="shared" si="136"/>
        <v>229</v>
      </c>
      <c r="I373" s="52">
        <f t="shared" si="137"/>
        <v>625.17000000000007</v>
      </c>
      <c r="J373" s="52">
        <f t="shared" si="138"/>
        <v>5434.17</v>
      </c>
      <c r="K373" s="53">
        <v>0.15</v>
      </c>
      <c r="L373" s="52">
        <f t="shared" si="139"/>
        <v>815.12549999999999</v>
      </c>
      <c r="M373" s="52">
        <f t="shared" si="140"/>
        <v>6249.2955000000002</v>
      </c>
      <c r="N373" s="53">
        <v>0.2</v>
      </c>
      <c r="O373" s="52">
        <f t="shared" si="141"/>
        <v>7811.6193750000002</v>
      </c>
      <c r="P373" s="1">
        <f t="shared" si="142"/>
        <v>7810</v>
      </c>
    </row>
    <row r="374" spans="2:16" x14ac:dyDescent="0.25">
      <c r="B374" s="125" t="s">
        <v>2562</v>
      </c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</row>
    <row r="375" spans="2:16" x14ac:dyDescent="0.25">
      <c r="B375" s="50" t="s">
        <v>2294</v>
      </c>
      <c r="C375" s="51" t="s">
        <v>2563</v>
      </c>
      <c r="D375" s="51" t="s">
        <v>2562</v>
      </c>
      <c r="E375" s="1">
        <v>1600</v>
      </c>
      <c r="F375" s="1">
        <v>0.05</v>
      </c>
      <c r="G375" s="1">
        <v>0.13</v>
      </c>
      <c r="H375" s="1">
        <f t="shared" ref="H375:H394" si="143">F375*E375</f>
        <v>80</v>
      </c>
      <c r="I375" s="52">
        <f t="shared" ref="I375:I394" si="144">G375*(E375+H375)</f>
        <v>218.4</v>
      </c>
      <c r="J375" s="52">
        <f t="shared" ref="J375:J394" si="145">E375+H375+I375</f>
        <v>1898.4</v>
      </c>
      <c r="K375" s="53">
        <v>0.15</v>
      </c>
      <c r="L375" s="52">
        <f t="shared" ref="L375:L394" si="146">J375*K375</f>
        <v>284.76</v>
      </c>
      <c r="M375" s="52">
        <f t="shared" ref="M375:M394" si="147">J375+L375</f>
        <v>2183.16</v>
      </c>
      <c r="N375" s="53">
        <v>0.2</v>
      </c>
      <c r="O375" s="52">
        <f t="shared" ref="O375:O394" si="148">$M375/(1-N375)</f>
        <v>2728.95</v>
      </c>
      <c r="P375" s="1">
        <f t="shared" ref="P375:P394" si="149">MROUND(O375,10)</f>
        <v>2730</v>
      </c>
    </row>
    <row r="376" spans="2:16" x14ac:dyDescent="0.25">
      <c r="B376" s="50" t="s">
        <v>2284</v>
      </c>
      <c r="C376" s="51" t="s">
        <v>2564</v>
      </c>
      <c r="D376" s="51" t="s">
        <v>2562</v>
      </c>
      <c r="E376" s="1">
        <v>1340</v>
      </c>
      <c r="F376" s="1">
        <v>0.05</v>
      </c>
      <c r="G376" s="1">
        <v>0.13</v>
      </c>
      <c r="H376" s="1">
        <f t="shared" si="143"/>
        <v>67</v>
      </c>
      <c r="I376" s="52">
        <f t="shared" si="144"/>
        <v>182.91</v>
      </c>
      <c r="J376" s="52">
        <f t="shared" si="145"/>
        <v>1589.91</v>
      </c>
      <c r="K376" s="53">
        <v>0.15</v>
      </c>
      <c r="L376" s="52">
        <f t="shared" si="146"/>
        <v>238.48650000000001</v>
      </c>
      <c r="M376" s="52">
        <f t="shared" si="147"/>
        <v>1828.3965000000001</v>
      </c>
      <c r="N376" s="53">
        <v>0.2</v>
      </c>
      <c r="O376" s="52">
        <f t="shared" si="148"/>
        <v>2285.495625</v>
      </c>
      <c r="P376" s="1">
        <f t="shared" si="149"/>
        <v>2290</v>
      </c>
    </row>
    <row r="377" spans="2:16" x14ac:dyDescent="0.25">
      <c r="B377" s="50" t="s">
        <v>2286</v>
      </c>
      <c r="C377" s="51" t="s">
        <v>2565</v>
      </c>
      <c r="D377" s="51" t="s">
        <v>2562</v>
      </c>
      <c r="E377" s="1">
        <v>2190</v>
      </c>
      <c r="F377" s="1">
        <v>0.05</v>
      </c>
      <c r="G377" s="1">
        <v>0.13</v>
      </c>
      <c r="H377" s="1">
        <f t="shared" si="143"/>
        <v>109.5</v>
      </c>
      <c r="I377" s="52">
        <f t="shared" si="144"/>
        <v>298.935</v>
      </c>
      <c r="J377" s="52">
        <f t="shared" si="145"/>
        <v>2598.4349999999999</v>
      </c>
      <c r="K377" s="53">
        <v>0.15</v>
      </c>
      <c r="L377" s="52">
        <f t="shared" si="146"/>
        <v>389.76524999999998</v>
      </c>
      <c r="M377" s="52">
        <f t="shared" si="147"/>
        <v>2988.2002499999999</v>
      </c>
      <c r="N377" s="53">
        <v>0.2</v>
      </c>
      <c r="O377" s="52">
        <f t="shared" si="148"/>
        <v>3735.2503124999998</v>
      </c>
      <c r="P377" s="1">
        <f t="shared" si="149"/>
        <v>3740</v>
      </c>
    </row>
    <row r="378" spans="2:16" x14ac:dyDescent="0.25">
      <c r="B378" s="50" t="s">
        <v>2566</v>
      </c>
      <c r="C378" s="51" t="s">
        <v>2567</v>
      </c>
      <c r="D378" s="51" t="s">
        <v>2562</v>
      </c>
      <c r="E378" s="1">
        <v>1300</v>
      </c>
      <c r="F378" s="1">
        <v>0.05</v>
      </c>
      <c r="G378" s="1">
        <v>0.13</v>
      </c>
      <c r="H378" s="1">
        <f t="shared" si="143"/>
        <v>65</v>
      </c>
      <c r="I378" s="52">
        <f t="shared" si="144"/>
        <v>177.45000000000002</v>
      </c>
      <c r="J378" s="52">
        <f t="shared" si="145"/>
        <v>1542.45</v>
      </c>
      <c r="K378" s="53">
        <v>0.15</v>
      </c>
      <c r="L378" s="52">
        <f t="shared" si="146"/>
        <v>231.36750000000001</v>
      </c>
      <c r="M378" s="52">
        <f t="shared" si="147"/>
        <v>1773.8175000000001</v>
      </c>
      <c r="N378" s="53">
        <v>0.2</v>
      </c>
      <c r="O378" s="52">
        <f t="shared" si="148"/>
        <v>2217.2718749999999</v>
      </c>
      <c r="P378" s="1">
        <f t="shared" si="149"/>
        <v>2220</v>
      </c>
    </row>
    <row r="379" spans="2:16" x14ac:dyDescent="0.25">
      <c r="B379" s="50" t="s">
        <v>2544</v>
      </c>
      <c r="C379" s="51" t="s">
        <v>2568</v>
      </c>
      <c r="D379" s="51" t="s">
        <v>2562</v>
      </c>
      <c r="E379" s="1">
        <v>1700</v>
      </c>
      <c r="F379" s="1">
        <v>0.05</v>
      </c>
      <c r="G379" s="1">
        <v>0.13</v>
      </c>
      <c r="H379" s="1">
        <f t="shared" si="143"/>
        <v>85</v>
      </c>
      <c r="I379" s="52">
        <f t="shared" si="144"/>
        <v>232.05</v>
      </c>
      <c r="J379" s="52">
        <f t="shared" si="145"/>
        <v>2017.05</v>
      </c>
      <c r="K379" s="53">
        <v>0.15</v>
      </c>
      <c r="L379" s="52">
        <f t="shared" si="146"/>
        <v>302.5575</v>
      </c>
      <c r="M379" s="52">
        <f t="shared" si="147"/>
        <v>2319.6075000000001</v>
      </c>
      <c r="N379" s="53">
        <v>0.2</v>
      </c>
      <c r="O379" s="52">
        <f t="shared" si="148"/>
        <v>2899.5093750000001</v>
      </c>
      <c r="P379" s="1">
        <f t="shared" si="149"/>
        <v>2900</v>
      </c>
    </row>
    <row r="380" spans="2:16" x14ac:dyDescent="0.25">
      <c r="B380" s="50" t="s">
        <v>2569</v>
      </c>
      <c r="C380" s="51" t="s">
        <v>2570</v>
      </c>
      <c r="D380" s="51" t="s">
        <v>2562</v>
      </c>
      <c r="E380" s="1">
        <v>1560</v>
      </c>
      <c r="F380" s="1">
        <v>0.05</v>
      </c>
      <c r="G380" s="1">
        <v>0.13</v>
      </c>
      <c r="H380" s="1">
        <f t="shared" si="143"/>
        <v>78</v>
      </c>
      <c r="I380" s="52">
        <f t="shared" si="144"/>
        <v>212.94</v>
      </c>
      <c r="J380" s="52">
        <f t="shared" si="145"/>
        <v>1850.94</v>
      </c>
      <c r="K380" s="53">
        <v>0.15</v>
      </c>
      <c r="L380" s="52">
        <f t="shared" si="146"/>
        <v>277.64100000000002</v>
      </c>
      <c r="M380" s="52">
        <f t="shared" si="147"/>
        <v>2128.5810000000001</v>
      </c>
      <c r="N380" s="53">
        <v>0.2</v>
      </c>
      <c r="O380" s="52">
        <f t="shared" si="148"/>
        <v>2660.7262500000002</v>
      </c>
      <c r="P380" s="1">
        <f t="shared" si="149"/>
        <v>2660</v>
      </c>
    </row>
    <row r="381" spans="2:16" x14ac:dyDescent="0.25">
      <c r="B381" s="50" t="s">
        <v>2257</v>
      </c>
      <c r="C381" s="51" t="s">
        <v>2571</v>
      </c>
      <c r="D381" s="51" t="s">
        <v>2562</v>
      </c>
      <c r="E381" s="1">
        <v>940</v>
      </c>
      <c r="F381" s="1">
        <v>0.05</v>
      </c>
      <c r="G381" s="1">
        <v>0.13</v>
      </c>
      <c r="H381" s="1">
        <f t="shared" si="143"/>
        <v>47</v>
      </c>
      <c r="I381" s="52">
        <f t="shared" si="144"/>
        <v>128.31</v>
      </c>
      <c r="J381" s="52">
        <f t="shared" si="145"/>
        <v>1115.31</v>
      </c>
      <c r="K381" s="53">
        <v>0.15</v>
      </c>
      <c r="L381" s="52">
        <f t="shared" si="146"/>
        <v>167.29649999999998</v>
      </c>
      <c r="M381" s="52">
        <f t="shared" si="147"/>
        <v>1282.6064999999999</v>
      </c>
      <c r="N381" s="53">
        <v>0.2</v>
      </c>
      <c r="O381" s="52">
        <f t="shared" si="148"/>
        <v>1603.2581249999998</v>
      </c>
      <c r="P381" s="1">
        <f t="shared" si="149"/>
        <v>1600</v>
      </c>
    </row>
    <row r="382" spans="2:16" x14ac:dyDescent="0.25">
      <c r="B382" s="50" t="s">
        <v>2572</v>
      </c>
      <c r="C382" s="51" t="s">
        <v>2573</v>
      </c>
      <c r="D382" s="51" t="s">
        <v>2562</v>
      </c>
      <c r="E382" s="1">
        <v>2130</v>
      </c>
      <c r="F382" s="1">
        <v>0.05</v>
      </c>
      <c r="G382" s="1">
        <v>0.13</v>
      </c>
      <c r="H382" s="1">
        <f t="shared" si="143"/>
        <v>106.5</v>
      </c>
      <c r="I382" s="52">
        <f t="shared" si="144"/>
        <v>290.745</v>
      </c>
      <c r="J382" s="52">
        <f t="shared" si="145"/>
        <v>2527.2449999999999</v>
      </c>
      <c r="K382" s="53">
        <v>0.15</v>
      </c>
      <c r="L382" s="52">
        <f t="shared" si="146"/>
        <v>379.08674999999999</v>
      </c>
      <c r="M382" s="52">
        <f t="shared" si="147"/>
        <v>2906.3317499999998</v>
      </c>
      <c r="N382" s="53">
        <v>0.2</v>
      </c>
      <c r="O382" s="52">
        <f t="shared" si="148"/>
        <v>3632.9146874999997</v>
      </c>
      <c r="P382" s="1">
        <f t="shared" si="149"/>
        <v>3630</v>
      </c>
    </row>
    <row r="383" spans="2:16" x14ac:dyDescent="0.25">
      <c r="B383" s="50" t="s">
        <v>2574</v>
      </c>
      <c r="C383" s="51" t="s">
        <v>2575</v>
      </c>
      <c r="D383" s="51" t="s">
        <v>2562</v>
      </c>
      <c r="E383" s="1">
        <v>890</v>
      </c>
      <c r="F383" s="1">
        <v>0.05</v>
      </c>
      <c r="G383" s="1">
        <v>0.13</v>
      </c>
      <c r="H383" s="1">
        <f t="shared" si="143"/>
        <v>44.5</v>
      </c>
      <c r="I383" s="52">
        <f t="shared" si="144"/>
        <v>121.485</v>
      </c>
      <c r="J383" s="52">
        <f t="shared" si="145"/>
        <v>1055.9849999999999</v>
      </c>
      <c r="K383" s="53">
        <v>0.15</v>
      </c>
      <c r="L383" s="52">
        <f t="shared" si="146"/>
        <v>158.39774999999997</v>
      </c>
      <c r="M383" s="52">
        <f t="shared" si="147"/>
        <v>1214.3827499999998</v>
      </c>
      <c r="N383" s="53">
        <v>0.2</v>
      </c>
      <c r="O383" s="52">
        <f t="shared" si="148"/>
        <v>1517.9784374999997</v>
      </c>
      <c r="P383" s="1">
        <f t="shared" si="149"/>
        <v>1520</v>
      </c>
    </row>
    <row r="384" spans="2:16" x14ac:dyDescent="0.25">
      <c r="B384" s="50" t="s">
        <v>2420</v>
      </c>
      <c r="C384" s="51" t="s">
        <v>2576</v>
      </c>
      <c r="D384" s="51" t="s">
        <v>2562</v>
      </c>
      <c r="E384" s="1">
        <v>2260</v>
      </c>
      <c r="F384" s="1">
        <v>0.05</v>
      </c>
      <c r="G384" s="1">
        <v>0.13</v>
      </c>
      <c r="H384" s="1">
        <f t="shared" si="143"/>
        <v>113</v>
      </c>
      <c r="I384" s="52">
        <f t="shared" si="144"/>
        <v>308.49</v>
      </c>
      <c r="J384" s="52">
        <f t="shared" si="145"/>
        <v>2681.49</v>
      </c>
      <c r="K384" s="53">
        <v>0.15</v>
      </c>
      <c r="L384" s="52">
        <f t="shared" si="146"/>
        <v>402.22349999999994</v>
      </c>
      <c r="M384" s="52">
        <f t="shared" si="147"/>
        <v>3083.7134999999998</v>
      </c>
      <c r="N384" s="53">
        <v>0.2</v>
      </c>
      <c r="O384" s="52">
        <f t="shared" si="148"/>
        <v>3854.6418749999998</v>
      </c>
      <c r="P384" s="1">
        <f t="shared" si="149"/>
        <v>3850</v>
      </c>
    </row>
    <row r="385" spans="2:16" x14ac:dyDescent="0.25">
      <c r="B385" s="50" t="s">
        <v>2391</v>
      </c>
      <c r="C385" s="51" t="s">
        <v>2577</v>
      </c>
      <c r="D385" s="51" t="s">
        <v>2562</v>
      </c>
      <c r="E385" s="1">
        <v>1600</v>
      </c>
      <c r="F385" s="1">
        <v>0.05</v>
      </c>
      <c r="G385" s="1">
        <v>0.13</v>
      </c>
      <c r="H385" s="1">
        <f t="shared" si="143"/>
        <v>80</v>
      </c>
      <c r="I385" s="52">
        <f t="shared" si="144"/>
        <v>218.4</v>
      </c>
      <c r="J385" s="52">
        <f t="shared" si="145"/>
        <v>1898.4</v>
      </c>
      <c r="K385" s="53">
        <v>0.15</v>
      </c>
      <c r="L385" s="52">
        <f t="shared" si="146"/>
        <v>284.76</v>
      </c>
      <c r="M385" s="52">
        <f t="shared" si="147"/>
        <v>2183.16</v>
      </c>
      <c r="N385" s="53">
        <v>0.2</v>
      </c>
      <c r="O385" s="52">
        <f t="shared" si="148"/>
        <v>2728.95</v>
      </c>
      <c r="P385" s="1">
        <f t="shared" si="149"/>
        <v>2730</v>
      </c>
    </row>
    <row r="386" spans="2:16" x14ac:dyDescent="0.25">
      <c r="B386" s="50" t="s">
        <v>2393</v>
      </c>
      <c r="C386" s="51" t="s">
        <v>2578</v>
      </c>
      <c r="D386" s="51" t="s">
        <v>2562</v>
      </c>
      <c r="E386" s="1">
        <v>2700</v>
      </c>
      <c r="F386" s="1">
        <v>0.05</v>
      </c>
      <c r="G386" s="1">
        <v>0.13</v>
      </c>
      <c r="H386" s="1">
        <f t="shared" si="143"/>
        <v>135</v>
      </c>
      <c r="I386" s="52">
        <f t="shared" si="144"/>
        <v>368.55</v>
      </c>
      <c r="J386" s="52">
        <f t="shared" si="145"/>
        <v>3203.55</v>
      </c>
      <c r="K386" s="53">
        <v>0.15</v>
      </c>
      <c r="L386" s="52">
        <f t="shared" si="146"/>
        <v>480.53250000000003</v>
      </c>
      <c r="M386" s="52">
        <f t="shared" si="147"/>
        <v>3684.0825000000004</v>
      </c>
      <c r="N386" s="53">
        <v>0.2</v>
      </c>
      <c r="O386" s="52">
        <f t="shared" si="148"/>
        <v>4605.1031250000005</v>
      </c>
      <c r="P386" s="1">
        <f t="shared" si="149"/>
        <v>4610</v>
      </c>
    </row>
    <row r="387" spans="2:16" x14ac:dyDescent="0.25">
      <c r="B387" s="50" t="s">
        <v>2579</v>
      </c>
      <c r="C387" s="51" t="s">
        <v>2580</v>
      </c>
      <c r="D387" s="51" t="s">
        <v>2562</v>
      </c>
      <c r="E387" s="1">
        <v>4310</v>
      </c>
      <c r="F387" s="1">
        <v>0.05</v>
      </c>
      <c r="G387" s="1">
        <v>0.13</v>
      </c>
      <c r="H387" s="1">
        <f t="shared" si="143"/>
        <v>215.5</v>
      </c>
      <c r="I387" s="52">
        <f t="shared" si="144"/>
        <v>588.31500000000005</v>
      </c>
      <c r="J387" s="52">
        <f t="shared" si="145"/>
        <v>5113.8150000000005</v>
      </c>
      <c r="K387" s="53">
        <v>0.15</v>
      </c>
      <c r="L387" s="52">
        <f t="shared" si="146"/>
        <v>767.07225000000005</v>
      </c>
      <c r="M387" s="52">
        <f t="shared" si="147"/>
        <v>5880.8872500000007</v>
      </c>
      <c r="N387" s="53">
        <v>0.2</v>
      </c>
      <c r="O387" s="52">
        <f t="shared" si="148"/>
        <v>7351.1090625000006</v>
      </c>
      <c r="P387" s="1">
        <f t="shared" si="149"/>
        <v>7350</v>
      </c>
    </row>
    <row r="388" spans="2:16" x14ac:dyDescent="0.25">
      <c r="B388" s="50" t="s">
        <v>2553</v>
      </c>
      <c r="C388" s="51" t="s">
        <v>2581</v>
      </c>
      <c r="D388" s="51" t="s">
        <v>2562</v>
      </c>
      <c r="E388" s="1">
        <v>5680</v>
      </c>
      <c r="F388" s="1">
        <v>0.05</v>
      </c>
      <c r="G388" s="1">
        <v>0.13</v>
      </c>
      <c r="H388" s="1">
        <f t="shared" si="143"/>
        <v>284</v>
      </c>
      <c r="I388" s="52">
        <f t="shared" si="144"/>
        <v>775.32</v>
      </c>
      <c r="J388" s="52">
        <f t="shared" si="145"/>
        <v>6739.32</v>
      </c>
      <c r="K388" s="53">
        <v>0.15</v>
      </c>
      <c r="L388" s="52">
        <f t="shared" si="146"/>
        <v>1010.8979999999999</v>
      </c>
      <c r="M388" s="52">
        <f t="shared" si="147"/>
        <v>7750.2179999999998</v>
      </c>
      <c r="N388" s="53">
        <v>0.2</v>
      </c>
      <c r="O388" s="52">
        <f t="shared" si="148"/>
        <v>9687.7724999999991</v>
      </c>
      <c r="P388" s="1">
        <f t="shared" si="149"/>
        <v>9690</v>
      </c>
    </row>
    <row r="389" spans="2:16" x14ac:dyDescent="0.25">
      <c r="B389" s="50" t="s">
        <v>2429</v>
      </c>
      <c r="C389" s="51" t="s">
        <v>2582</v>
      </c>
      <c r="D389" s="51" t="s">
        <v>2562</v>
      </c>
      <c r="E389" s="1">
        <v>6740</v>
      </c>
      <c r="F389" s="1">
        <v>0.05</v>
      </c>
      <c r="G389" s="1">
        <v>0.13</v>
      </c>
      <c r="H389" s="1">
        <f t="shared" si="143"/>
        <v>337</v>
      </c>
      <c r="I389" s="52">
        <f t="shared" si="144"/>
        <v>920.01</v>
      </c>
      <c r="J389" s="52">
        <f t="shared" si="145"/>
        <v>7997.01</v>
      </c>
      <c r="K389" s="53">
        <v>0.15</v>
      </c>
      <c r="L389" s="52">
        <f t="shared" si="146"/>
        <v>1199.5515</v>
      </c>
      <c r="M389" s="52">
        <f t="shared" si="147"/>
        <v>9196.5614999999998</v>
      </c>
      <c r="N389" s="53">
        <v>0.2</v>
      </c>
      <c r="O389" s="52">
        <f t="shared" si="148"/>
        <v>11495.701874999999</v>
      </c>
      <c r="P389" s="1">
        <f t="shared" si="149"/>
        <v>11500</v>
      </c>
    </row>
    <row r="390" spans="2:16" x14ac:dyDescent="0.25">
      <c r="B390" s="50" t="s">
        <v>2387</v>
      </c>
      <c r="C390" s="51" t="s">
        <v>2583</v>
      </c>
      <c r="D390" s="51" t="s">
        <v>2562</v>
      </c>
      <c r="E390" s="1">
        <v>4670</v>
      </c>
      <c r="F390" s="1">
        <v>0.05</v>
      </c>
      <c r="G390" s="1">
        <v>0.13</v>
      </c>
      <c r="H390" s="1">
        <f t="shared" si="143"/>
        <v>233.5</v>
      </c>
      <c r="I390" s="52">
        <f t="shared" si="144"/>
        <v>637.45500000000004</v>
      </c>
      <c r="J390" s="52">
        <f t="shared" si="145"/>
        <v>5540.9549999999999</v>
      </c>
      <c r="K390" s="53">
        <v>0.15</v>
      </c>
      <c r="L390" s="52">
        <f t="shared" si="146"/>
        <v>831.14324999999997</v>
      </c>
      <c r="M390" s="52">
        <f t="shared" si="147"/>
        <v>6372.09825</v>
      </c>
      <c r="N390" s="53">
        <v>0.2</v>
      </c>
      <c r="O390" s="52">
        <f t="shared" si="148"/>
        <v>7965.1228124999998</v>
      </c>
      <c r="P390" s="1">
        <f t="shared" si="149"/>
        <v>7970</v>
      </c>
    </row>
    <row r="391" spans="2:16" x14ac:dyDescent="0.25">
      <c r="B391" s="50" t="s">
        <v>2491</v>
      </c>
      <c r="C391" s="51" t="s">
        <v>2584</v>
      </c>
      <c r="D391" s="51" t="s">
        <v>2562</v>
      </c>
      <c r="E391" s="1">
        <v>1530</v>
      </c>
      <c r="F391" s="1">
        <v>0.05</v>
      </c>
      <c r="G391" s="1">
        <v>0.13</v>
      </c>
      <c r="H391" s="1">
        <f t="shared" si="143"/>
        <v>76.5</v>
      </c>
      <c r="I391" s="52">
        <f t="shared" si="144"/>
        <v>208.845</v>
      </c>
      <c r="J391" s="52">
        <f t="shared" si="145"/>
        <v>1815.345</v>
      </c>
      <c r="K391" s="53">
        <v>0.15</v>
      </c>
      <c r="L391" s="52">
        <f t="shared" si="146"/>
        <v>272.30174999999997</v>
      </c>
      <c r="M391" s="52">
        <f t="shared" si="147"/>
        <v>2087.6467499999999</v>
      </c>
      <c r="N391" s="53">
        <v>0.2</v>
      </c>
      <c r="O391" s="52">
        <f t="shared" si="148"/>
        <v>2609.5584374999999</v>
      </c>
      <c r="P391" s="1">
        <f t="shared" si="149"/>
        <v>2610</v>
      </c>
    </row>
    <row r="392" spans="2:16" x14ac:dyDescent="0.25">
      <c r="B392" s="50" t="s">
        <v>2585</v>
      </c>
      <c r="C392" s="51" t="s">
        <v>2586</v>
      </c>
      <c r="D392" s="51" t="s">
        <v>2562</v>
      </c>
      <c r="E392" s="1">
        <v>1590</v>
      </c>
      <c r="F392" s="1">
        <v>0.05</v>
      </c>
      <c r="G392" s="1">
        <v>0.13</v>
      </c>
      <c r="H392" s="1">
        <f t="shared" si="143"/>
        <v>79.5</v>
      </c>
      <c r="I392" s="52">
        <f t="shared" si="144"/>
        <v>217.035</v>
      </c>
      <c r="J392" s="52">
        <f t="shared" si="145"/>
        <v>1886.5350000000001</v>
      </c>
      <c r="K392" s="53">
        <v>0.15</v>
      </c>
      <c r="L392" s="52">
        <f t="shared" si="146"/>
        <v>282.98025000000001</v>
      </c>
      <c r="M392" s="52">
        <f t="shared" si="147"/>
        <v>2169.5152499999999</v>
      </c>
      <c r="N392" s="53">
        <v>0.2</v>
      </c>
      <c r="O392" s="52">
        <f t="shared" si="148"/>
        <v>2711.8940624999996</v>
      </c>
      <c r="P392" s="1">
        <f t="shared" si="149"/>
        <v>2710</v>
      </c>
    </row>
    <row r="393" spans="2:16" x14ac:dyDescent="0.25">
      <c r="B393" s="50" t="s">
        <v>2587</v>
      </c>
      <c r="C393" s="51" t="s">
        <v>2588</v>
      </c>
      <c r="D393" s="51" t="s">
        <v>2562</v>
      </c>
      <c r="E393" s="1">
        <v>1530</v>
      </c>
      <c r="F393" s="1">
        <v>0.05</v>
      </c>
      <c r="G393" s="1">
        <v>0.13</v>
      </c>
      <c r="H393" s="1">
        <f t="shared" si="143"/>
        <v>76.5</v>
      </c>
      <c r="I393" s="52">
        <f t="shared" si="144"/>
        <v>208.845</v>
      </c>
      <c r="J393" s="52">
        <f t="shared" si="145"/>
        <v>1815.345</v>
      </c>
      <c r="K393" s="53">
        <v>0.15</v>
      </c>
      <c r="L393" s="52">
        <f t="shared" si="146"/>
        <v>272.30174999999997</v>
      </c>
      <c r="M393" s="52">
        <f t="shared" si="147"/>
        <v>2087.6467499999999</v>
      </c>
      <c r="N393" s="53">
        <v>0.2</v>
      </c>
      <c r="O393" s="52">
        <f t="shared" si="148"/>
        <v>2609.5584374999999</v>
      </c>
      <c r="P393" s="1">
        <f t="shared" si="149"/>
        <v>2610</v>
      </c>
    </row>
    <row r="394" spans="2:16" x14ac:dyDescent="0.25">
      <c r="B394" s="50" t="s">
        <v>2589</v>
      </c>
      <c r="C394" s="51" t="s">
        <v>2590</v>
      </c>
      <c r="D394" s="51" t="s">
        <v>2562</v>
      </c>
      <c r="E394" s="1">
        <v>730</v>
      </c>
      <c r="F394" s="1">
        <v>0.05</v>
      </c>
      <c r="G394" s="1">
        <v>0.13</v>
      </c>
      <c r="H394" s="1">
        <f t="shared" si="143"/>
        <v>36.5</v>
      </c>
      <c r="I394" s="52">
        <f t="shared" si="144"/>
        <v>99.64500000000001</v>
      </c>
      <c r="J394" s="52">
        <f t="shared" si="145"/>
        <v>866.14499999999998</v>
      </c>
      <c r="K394" s="53">
        <v>0.15</v>
      </c>
      <c r="L394" s="52">
        <f t="shared" si="146"/>
        <v>129.92175</v>
      </c>
      <c r="M394" s="52">
        <f t="shared" si="147"/>
        <v>996.06674999999996</v>
      </c>
      <c r="N394" s="53">
        <v>0.2</v>
      </c>
      <c r="O394" s="52">
        <f t="shared" si="148"/>
        <v>1245.0834374999999</v>
      </c>
      <c r="P394" s="1">
        <f t="shared" si="149"/>
        <v>1250</v>
      </c>
    </row>
    <row r="395" spans="2:16" x14ac:dyDescent="0.25">
      <c r="B395" s="125" t="s">
        <v>2591</v>
      </c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</row>
    <row r="396" spans="2:16" x14ac:dyDescent="0.25">
      <c r="B396" s="50" t="s">
        <v>2284</v>
      </c>
      <c r="C396" s="51" t="s">
        <v>2592</v>
      </c>
      <c r="D396" s="51" t="s">
        <v>2591</v>
      </c>
      <c r="E396" s="1">
        <v>1160</v>
      </c>
      <c r="F396" s="1">
        <v>0.05</v>
      </c>
      <c r="G396" s="1">
        <v>0.13</v>
      </c>
      <c r="H396" s="1">
        <f>F396*E396</f>
        <v>58</v>
      </c>
      <c r="I396" s="52">
        <f>G396*(E396+H396)</f>
        <v>158.34</v>
      </c>
      <c r="J396" s="52">
        <f>E396+H396+I396</f>
        <v>1376.34</v>
      </c>
      <c r="K396" s="53">
        <v>0.15</v>
      </c>
      <c r="L396" s="52">
        <f>J396*K396</f>
        <v>206.45099999999999</v>
      </c>
      <c r="M396" s="52">
        <f>J396+L396</f>
        <v>1582.7909999999999</v>
      </c>
      <c r="N396" s="53">
        <v>0.2</v>
      </c>
      <c r="O396" s="52">
        <f>$M396/(1-N396)</f>
        <v>1978.4887499999998</v>
      </c>
      <c r="P396" s="1">
        <f>MROUND(O396,10)</f>
        <v>1980</v>
      </c>
    </row>
    <row r="397" spans="2:16" x14ac:dyDescent="0.25">
      <c r="B397" s="50" t="s">
        <v>2547</v>
      </c>
      <c r="C397" s="51" t="s">
        <v>2593</v>
      </c>
      <c r="D397" s="51" t="s">
        <v>2591</v>
      </c>
      <c r="E397" s="1">
        <v>2100</v>
      </c>
      <c r="F397" s="1">
        <v>0.05</v>
      </c>
      <c r="G397" s="1">
        <v>0.13</v>
      </c>
      <c r="H397" s="1">
        <f>F397*E397</f>
        <v>105</v>
      </c>
      <c r="I397" s="52">
        <f>G397*(E397+H397)</f>
        <v>286.65000000000003</v>
      </c>
      <c r="J397" s="52">
        <f>E397+H397+I397</f>
        <v>2491.65</v>
      </c>
      <c r="K397" s="53">
        <v>0.15</v>
      </c>
      <c r="L397" s="52">
        <f>J397*K397</f>
        <v>373.7475</v>
      </c>
      <c r="M397" s="52">
        <f>J397+L397</f>
        <v>2865.3975</v>
      </c>
      <c r="N397" s="53">
        <v>0.2</v>
      </c>
      <c r="O397" s="52">
        <f>$M397/(1-N397)</f>
        <v>3581.7468749999998</v>
      </c>
      <c r="P397" s="1">
        <f>MROUND(O397,10)</f>
        <v>3580</v>
      </c>
    </row>
    <row r="398" spans="2:16" x14ac:dyDescent="0.25">
      <c r="B398" s="50" t="s">
        <v>2420</v>
      </c>
      <c r="C398" s="51" t="s">
        <v>2594</v>
      </c>
      <c r="D398" s="51" t="s">
        <v>2591</v>
      </c>
      <c r="E398" s="1">
        <v>1980</v>
      </c>
      <c r="F398" s="1">
        <v>0.05</v>
      </c>
      <c r="G398" s="1">
        <v>0.13</v>
      </c>
      <c r="H398" s="1">
        <f>F398*E398</f>
        <v>99</v>
      </c>
      <c r="I398" s="52">
        <f>G398*(E398+H398)</f>
        <v>270.27</v>
      </c>
      <c r="J398" s="52">
        <f>E398+H398+I398</f>
        <v>2349.27</v>
      </c>
      <c r="K398" s="53">
        <v>0.15</v>
      </c>
      <c r="L398" s="52">
        <f>J398*K398</f>
        <v>352.39049999999997</v>
      </c>
      <c r="M398" s="52">
        <f>J398+L398</f>
        <v>2701.6605</v>
      </c>
      <c r="N398" s="53">
        <v>0.2</v>
      </c>
      <c r="O398" s="52">
        <f>$M398/(1-N398)</f>
        <v>3377.0756249999999</v>
      </c>
      <c r="P398" s="1">
        <f>MROUND(O398,10)</f>
        <v>3380</v>
      </c>
    </row>
    <row r="399" spans="2:16" x14ac:dyDescent="0.25">
      <c r="B399" s="50" t="s">
        <v>2553</v>
      </c>
      <c r="C399" s="51" t="s">
        <v>2595</v>
      </c>
      <c r="D399" s="51" t="s">
        <v>2591</v>
      </c>
      <c r="E399" s="1">
        <v>5280</v>
      </c>
      <c r="F399" s="1">
        <v>0.05</v>
      </c>
      <c r="G399" s="1">
        <v>0.13</v>
      </c>
      <c r="H399" s="1">
        <f>F399*E399</f>
        <v>264</v>
      </c>
      <c r="I399" s="52">
        <f>G399*(E399+H399)</f>
        <v>720.72</v>
      </c>
      <c r="J399" s="52">
        <f>E399+H399+I399</f>
        <v>6264.72</v>
      </c>
      <c r="K399" s="53">
        <v>0.15</v>
      </c>
      <c r="L399" s="52">
        <f>J399*K399</f>
        <v>939.70799999999997</v>
      </c>
      <c r="M399" s="52">
        <f>J399+L399</f>
        <v>7204.4279999999999</v>
      </c>
      <c r="N399" s="53">
        <v>0.2</v>
      </c>
      <c r="O399" s="52">
        <f>$M399/(1-N399)</f>
        <v>9005.5349999999999</v>
      </c>
      <c r="P399" s="1">
        <f>MROUND(O399,10)</f>
        <v>9010</v>
      </c>
    </row>
    <row r="400" spans="2:16" x14ac:dyDescent="0.25">
      <c r="B400" s="125" t="s">
        <v>2596</v>
      </c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</row>
    <row r="401" spans="2:16" x14ac:dyDescent="0.25">
      <c r="B401" s="50" t="s">
        <v>2487</v>
      </c>
      <c r="C401" s="51" t="s">
        <v>2597</v>
      </c>
      <c r="D401" s="51" t="s">
        <v>2596</v>
      </c>
      <c r="E401" s="1">
        <v>1440</v>
      </c>
      <c r="F401" s="1">
        <v>0.05</v>
      </c>
      <c r="G401" s="1">
        <v>0.13</v>
      </c>
      <c r="H401" s="1">
        <f t="shared" ref="H401:H413" si="150">F401*E401</f>
        <v>72</v>
      </c>
      <c r="I401" s="52">
        <f t="shared" ref="I401:I413" si="151">G401*(E401+H401)</f>
        <v>196.56</v>
      </c>
      <c r="J401" s="52">
        <f t="shared" ref="J401:J413" si="152">E401+H401+I401</f>
        <v>1708.56</v>
      </c>
      <c r="K401" s="53">
        <v>0.15</v>
      </c>
      <c r="L401" s="52">
        <f t="shared" ref="L401:L413" si="153">J401*K401</f>
        <v>256.28399999999999</v>
      </c>
      <c r="M401" s="52">
        <f t="shared" ref="M401:M413" si="154">J401+L401</f>
        <v>1964.8440000000001</v>
      </c>
      <c r="N401" s="53">
        <v>0.2</v>
      </c>
      <c r="O401" s="52">
        <f t="shared" ref="O401:O413" si="155">$M401/(1-N401)</f>
        <v>2456.0549999999998</v>
      </c>
      <c r="P401" s="1">
        <f t="shared" ref="P401:P413" si="156">MROUND(O401,10)</f>
        <v>2460</v>
      </c>
    </row>
    <row r="402" spans="2:16" x14ac:dyDescent="0.25">
      <c r="B402" s="54" t="s">
        <v>2598</v>
      </c>
      <c r="C402" s="1" t="s">
        <v>2599</v>
      </c>
      <c r="D402" s="1" t="s">
        <v>2596</v>
      </c>
      <c r="E402" s="1">
        <v>1870</v>
      </c>
      <c r="F402" s="1">
        <v>0.05</v>
      </c>
      <c r="G402" s="1">
        <v>0.13</v>
      </c>
      <c r="H402" s="1">
        <f t="shared" si="150"/>
        <v>93.5</v>
      </c>
      <c r="I402" s="52">
        <f t="shared" si="151"/>
        <v>255.255</v>
      </c>
      <c r="J402" s="52">
        <f t="shared" si="152"/>
        <v>2218.7550000000001</v>
      </c>
      <c r="K402" s="53">
        <v>0.15</v>
      </c>
      <c r="L402" s="52">
        <f t="shared" si="153"/>
        <v>332.81324999999998</v>
      </c>
      <c r="M402" s="52">
        <f t="shared" si="154"/>
        <v>2551.5682500000003</v>
      </c>
      <c r="N402" s="53">
        <v>0.2</v>
      </c>
      <c r="O402" s="52">
        <f t="shared" si="155"/>
        <v>3189.4603125000003</v>
      </c>
      <c r="P402" s="1">
        <f t="shared" si="156"/>
        <v>3190</v>
      </c>
    </row>
    <row r="403" spans="2:16" x14ac:dyDescent="0.25">
      <c r="B403" s="50" t="s">
        <v>2600</v>
      </c>
      <c r="C403" s="51" t="s">
        <v>2601</v>
      </c>
      <c r="D403" s="51" t="s">
        <v>2596</v>
      </c>
      <c r="E403" s="1">
        <v>1730</v>
      </c>
      <c r="F403" s="1">
        <v>0.05</v>
      </c>
      <c r="G403" s="1">
        <v>0.13</v>
      </c>
      <c r="H403" s="1">
        <f t="shared" si="150"/>
        <v>86.5</v>
      </c>
      <c r="I403" s="52">
        <f t="shared" si="151"/>
        <v>236.14500000000001</v>
      </c>
      <c r="J403" s="52">
        <f t="shared" si="152"/>
        <v>2052.645</v>
      </c>
      <c r="K403" s="53">
        <v>0.15</v>
      </c>
      <c r="L403" s="52">
        <f t="shared" si="153"/>
        <v>307.89675</v>
      </c>
      <c r="M403" s="52">
        <f t="shared" si="154"/>
        <v>2360.5417499999999</v>
      </c>
      <c r="N403" s="53">
        <v>0.2</v>
      </c>
      <c r="O403" s="52">
        <f t="shared" si="155"/>
        <v>2950.6771874999995</v>
      </c>
      <c r="P403" s="1">
        <f t="shared" si="156"/>
        <v>2950</v>
      </c>
    </row>
    <row r="404" spans="2:16" x14ac:dyDescent="0.25">
      <c r="B404" s="50" t="s">
        <v>2351</v>
      </c>
      <c r="C404" s="51" t="s">
        <v>2602</v>
      </c>
      <c r="D404" s="51" t="s">
        <v>2596</v>
      </c>
      <c r="E404" s="1">
        <v>2220</v>
      </c>
      <c r="F404" s="1">
        <v>0.05</v>
      </c>
      <c r="G404" s="1">
        <v>0.13</v>
      </c>
      <c r="H404" s="1">
        <f t="shared" si="150"/>
        <v>111</v>
      </c>
      <c r="I404" s="52">
        <f t="shared" si="151"/>
        <v>303.03000000000003</v>
      </c>
      <c r="J404" s="52">
        <f t="shared" si="152"/>
        <v>2634.03</v>
      </c>
      <c r="K404" s="53">
        <v>0.15</v>
      </c>
      <c r="L404" s="52">
        <f t="shared" si="153"/>
        <v>395.10450000000003</v>
      </c>
      <c r="M404" s="52">
        <f t="shared" si="154"/>
        <v>3029.1345000000001</v>
      </c>
      <c r="N404" s="53">
        <v>0.2</v>
      </c>
      <c r="O404" s="52">
        <f t="shared" si="155"/>
        <v>3786.4181250000001</v>
      </c>
      <c r="P404" s="1">
        <f t="shared" si="156"/>
        <v>3790</v>
      </c>
    </row>
    <row r="405" spans="2:16" x14ac:dyDescent="0.25">
      <c r="B405" s="50" t="s">
        <v>2603</v>
      </c>
      <c r="C405" s="51" t="s">
        <v>2604</v>
      </c>
      <c r="D405" s="51" t="s">
        <v>2596</v>
      </c>
      <c r="E405" s="1">
        <v>1190</v>
      </c>
      <c r="F405" s="1">
        <v>0.05</v>
      </c>
      <c r="G405" s="1">
        <v>0.13</v>
      </c>
      <c r="H405" s="1">
        <f t="shared" si="150"/>
        <v>59.5</v>
      </c>
      <c r="I405" s="52">
        <f t="shared" si="151"/>
        <v>162.435</v>
      </c>
      <c r="J405" s="52">
        <f t="shared" si="152"/>
        <v>1411.9349999999999</v>
      </c>
      <c r="K405" s="53">
        <v>0.15</v>
      </c>
      <c r="L405" s="52">
        <f t="shared" si="153"/>
        <v>211.79024999999999</v>
      </c>
      <c r="M405" s="52">
        <f t="shared" si="154"/>
        <v>1623.72525</v>
      </c>
      <c r="N405" s="53">
        <v>0.2</v>
      </c>
      <c r="O405" s="52">
        <f t="shared" si="155"/>
        <v>2029.6565624999998</v>
      </c>
      <c r="P405" s="1">
        <f t="shared" si="156"/>
        <v>2030</v>
      </c>
    </row>
    <row r="406" spans="2:16" x14ac:dyDescent="0.25">
      <c r="B406" s="50" t="s">
        <v>2605</v>
      </c>
      <c r="C406" s="51" t="s">
        <v>2606</v>
      </c>
      <c r="D406" s="51" t="s">
        <v>2596</v>
      </c>
      <c r="E406" s="1">
        <v>1180</v>
      </c>
      <c r="F406" s="1">
        <v>0.05</v>
      </c>
      <c r="G406" s="1">
        <v>0.13</v>
      </c>
      <c r="H406" s="1">
        <f t="shared" si="150"/>
        <v>59</v>
      </c>
      <c r="I406" s="52">
        <f t="shared" si="151"/>
        <v>161.07</v>
      </c>
      <c r="J406" s="52">
        <f t="shared" si="152"/>
        <v>1400.07</v>
      </c>
      <c r="K406" s="53">
        <v>0.15</v>
      </c>
      <c r="L406" s="52">
        <f t="shared" si="153"/>
        <v>210.01049999999998</v>
      </c>
      <c r="M406" s="52">
        <f t="shared" si="154"/>
        <v>1610.0805</v>
      </c>
      <c r="N406" s="53">
        <v>0.2</v>
      </c>
      <c r="O406" s="52">
        <f t="shared" si="155"/>
        <v>2012.600625</v>
      </c>
      <c r="P406" s="1">
        <f t="shared" si="156"/>
        <v>2010</v>
      </c>
    </row>
    <row r="407" spans="2:16" x14ac:dyDescent="0.25">
      <c r="B407" s="50" t="s">
        <v>2261</v>
      </c>
      <c r="C407" s="51" t="s">
        <v>2607</v>
      </c>
      <c r="D407" s="51" t="s">
        <v>2596</v>
      </c>
      <c r="E407" s="1">
        <v>1930</v>
      </c>
      <c r="F407" s="1">
        <v>0.05</v>
      </c>
      <c r="G407" s="1">
        <v>0.13</v>
      </c>
      <c r="H407" s="1">
        <f t="shared" si="150"/>
        <v>96.5</v>
      </c>
      <c r="I407" s="52">
        <f t="shared" si="151"/>
        <v>263.44499999999999</v>
      </c>
      <c r="J407" s="52">
        <f t="shared" si="152"/>
        <v>2289.9450000000002</v>
      </c>
      <c r="K407" s="53">
        <v>0.15</v>
      </c>
      <c r="L407" s="52">
        <f t="shared" si="153"/>
        <v>343.49175000000002</v>
      </c>
      <c r="M407" s="52">
        <f t="shared" si="154"/>
        <v>2633.4367500000003</v>
      </c>
      <c r="N407" s="53">
        <v>0.2</v>
      </c>
      <c r="O407" s="52">
        <f t="shared" si="155"/>
        <v>3291.7959375</v>
      </c>
      <c r="P407" s="1">
        <f t="shared" si="156"/>
        <v>3290</v>
      </c>
    </row>
    <row r="408" spans="2:16" x14ac:dyDescent="0.25">
      <c r="B408" s="54" t="s">
        <v>2608</v>
      </c>
      <c r="C408" s="1" t="s">
        <v>2609</v>
      </c>
      <c r="D408" s="1" t="s">
        <v>2596</v>
      </c>
      <c r="E408" s="1">
        <v>2870</v>
      </c>
      <c r="F408" s="1">
        <v>0.05</v>
      </c>
      <c r="G408" s="1">
        <v>0.13</v>
      </c>
      <c r="H408" s="1">
        <f t="shared" si="150"/>
        <v>143.5</v>
      </c>
      <c r="I408" s="52">
        <f t="shared" si="151"/>
        <v>391.755</v>
      </c>
      <c r="J408" s="52">
        <f t="shared" si="152"/>
        <v>3405.2550000000001</v>
      </c>
      <c r="K408" s="53">
        <v>0.15</v>
      </c>
      <c r="L408" s="52">
        <f t="shared" si="153"/>
        <v>510.78825000000001</v>
      </c>
      <c r="M408" s="52">
        <f t="shared" si="154"/>
        <v>3916.0432500000002</v>
      </c>
      <c r="N408" s="53">
        <v>0.2</v>
      </c>
      <c r="O408" s="52">
        <f t="shared" si="155"/>
        <v>4895.0540625000003</v>
      </c>
      <c r="P408" s="1">
        <f t="shared" si="156"/>
        <v>4900</v>
      </c>
    </row>
    <row r="409" spans="2:16" x14ac:dyDescent="0.25">
      <c r="B409" s="50" t="s">
        <v>2526</v>
      </c>
      <c r="C409" s="51" t="s">
        <v>2610</v>
      </c>
      <c r="D409" s="51" t="s">
        <v>2596</v>
      </c>
      <c r="E409" s="1">
        <v>4340</v>
      </c>
      <c r="F409" s="1">
        <v>0.05</v>
      </c>
      <c r="G409" s="1">
        <v>0.13</v>
      </c>
      <c r="H409" s="1">
        <f t="shared" si="150"/>
        <v>217</v>
      </c>
      <c r="I409" s="52">
        <f t="shared" si="151"/>
        <v>592.41</v>
      </c>
      <c r="J409" s="52">
        <f t="shared" si="152"/>
        <v>5149.41</v>
      </c>
      <c r="K409" s="53">
        <v>0.15</v>
      </c>
      <c r="L409" s="52">
        <f t="shared" si="153"/>
        <v>772.41149999999993</v>
      </c>
      <c r="M409" s="52">
        <f t="shared" si="154"/>
        <v>5921.8215</v>
      </c>
      <c r="N409" s="53">
        <v>0.2</v>
      </c>
      <c r="O409" s="52">
        <f t="shared" si="155"/>
        <v>7402.2768749999996</v>
      </c>
      <c r="P409" s="1">
        <f t="shared" si="156"/>
        <v>7400</v>
      </c>
    </row>
    <row r="410" spans="2:16" x14ac:dyDescent="0.25">
      <c r="B410" s="50" t="s">
        <v>2611</v>
      </c>
      <c r="C410" s="51" t="s">
        <v>2612</v>
      </c>
      <c r="D410" s="51" t="s">
        <v>2596</v>
      </c>
      <c r="E410" s="1">
        <v>5910</v>
      </c>
      <c r="F410" s="1">
        <v>0.05</v>
      </c>
      <c r="G410" s="1">
        <v>0.13</v>
      </c>
      <c r="H410" s="1">
        <f t="shared" si="150"/>
        <v>295.5</v>
      </c>
      <c r="I410" s="52">
        <f t="shared" si="151"/>
        <v>806.71500000000003</v>
      </c>
      <c r="J410" s="52">
        <f t="shared" si="152"/>
        <v>7012.2150000000001</v>
      </c>
      <c r="K410" s="53">
        <v>0.15</v>
      </c>
      <c r="L410" s="52">
        <f t="shared" si="153"/>
        <v>1051.8322499999999</v>
      </c>
      <c r="M410" s="52">
        <f t="shared" si="154"/>
        <v>8064.0472499999996</v>
      </c>
      <c r="N410" s="53">
        <v>0.2</v>
      </c>
      <c r="O410" s="52">
        <f t="shared" si="155"/>
        <v>10080.059062499999</v>
      </c>
      <c r="P410" s="1">
        <f t="shared" si="156"/>
        <v>10080</v>
      </c>
    </row>
    <row r="411" spans="2:16" x14ac:dyDescent="0.25">
      <c r="B411" s="54" t="s">
        <v>2613</v>
      </c>
      <c r="C411" s="1" t="s">
        <v>2614</v>
      </c>
      <c r="D411" s="1" t="s">
        <v>2596</v>
      </c>
      <c r="E411" s="1">
        <v>6225</v>
      </c>
      <c r="F411" s="1">
        <v>0.05</v>
      </c>
      <c r="G411" s="1">
        <v>0.13</v>
      </c>
      <c r="H411" s="1">
        <f t="shared" si="150"/>
        <v>311.25</v>
      </c>
      <c r="I411" s="52">
        <f t="shared" si="151"/>
        <v>849.71249999999998</v>
      </c>
      <c r="J411" s="52">
        <f t="shared" si="152"/>
        <v>7385.9624999999996</v>
      </c>
      <c r="K411" s="53">
        <v>0.15</v>
      </c>
      <c r="L411" s="52">
        <f t="shared" si="153"/>
        <v>1107.8943749999999</v>
      </c>
      <c r="M411" s="52">
        <f t="shared" si="154"/>
        <v>8493.8568749999995</v>
      </c>
      <c r="N411" s="53">
        <v>0.2</v>
      </c>
      <c r="O411" s="52">
        <f t="shared" si="155"/>
        <v>10617.321093749999</v>
      </c>
      <c r="P411" s="1">
        <f t="shared" si="156"/>
        <v>10620</v>
      </c>
    </row>
    <row r="412" spans="2:16" x14ac:dyDescent="0.25">
      <c r="B412" s="50" t="s">
        <v>2387</v>
      </c>
      <c r="C412" s="51" t="s">
        <v>2615</v>
      </c>
      <c r="D412" s="51" t="s">
        <v>2596</v>
      </c>
      <c r="E412" s="1">
        <v>4790</v>
      </c>
      <c r="F412" s="1">
        <v>0.05</v>
      </c>
      <c r="G412" s="1">
        <v>0.13</v>
      </c>
      <c r="H412" s="1">
        <f t="shared" si="150"/>
        <v>239.5</v>
      </c>
      <c r="I412" s="52">
        <f t="shared" si="151"/>
        <v>653.83500000000004</v>
      </c>
      <c r="J412" s="52">
        <f t="shared" si="152"/>
        <v>5683.335</v>
      </c>
      <c r="K412" s="53">
        <v>0.15</v>
      </c>
      <c r="L412" s="52">
        <f t="shared" si="153"/>
        <v>852.50024999999994</v>
      </c>
      <c r="M412" s="52">
        <f t="shared" si="154"/>
        <v>6535.8352500000001</v>
      </c>
      <c r="N412" s="53">
        <v>0.2</v>
      </c>
      <c r="O412" s="52">
        <f t="shared" si="155"/>
        <v>8169.7940625000001</v>
      </c>
      <c r="P412" s="1">
        <f t="shared" si="156"/>
        <v>8170</v>
      </c>
    </row>
    <row r="413" spans="2:16" x14ac:dyDescent="0.25">
      <c r="B413" s="50" t="s">
        <v>2420</v>
      </c>
      <c r="C413" s="51" t="s">
        <v>2616</v>
      </c>
      <c r="D413" s="51" t="s">
        <v>2596</v>
      </c>
      <c r="E413" s="1">
        <v>2450</v>
      </c>
      <c r="F413" s="1">
        <v>0.05</v>
      </c>
      <c r="G413" s="1">
        <v>0.13</v>
      </c>
      <c r="H413" s="1">
        <f t="shared" si="150"/>
        <v>122.5</v>
      </c>
      <c r="I413" s="52">
        <f t="shared" si="151"/>
        <v>334.42500000000001</v>
      </c>
      <c r="J413" s="52">
        <f t="shared" si="152"/>
        <v>2906.9250000000002</v>
      </c>
      <c r="K413" s="53">
        <v>0.15</v>
      </c>
      <c r="L413" s="52">
        <f t="shared" si="153"/>
        <v>436.03874999999999</v>
      </c>
      <c r="M413" s="52">
        <f t="shared" si="154"/>
        <v>3342.9637500000003</v>
      </c>
      <c r="N413" s="53">
        <v>0.2</v>
      </c>
      <c r="O413" s="52">
        <f t="shared" si="155"/>
        <v>4178.7046875000005</v>
      </c>
      <c r="P413" s="1">
        <f t="shared" si="156"/>
        <v>4180</v>
      </c>
    </row>
    <row r="414" spans="2:16" x14ac:dyDescent="0.25">
      <c r="B414" s="129" t="s">
        <v>2617</v>
      </c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</row>
    <row r="415" spans="2:16" x14ac:dyDescent="0.25">
      <c r="B415" s="54" t="s">
        <v>2294</v>
      </c>
      <c r="C415" s="1" t="s">
        <v>2618</v>
      </c>
      <c r="D415" s="1" t="s">
        <v>2617</v>
      </c>
      <c r="E415" s="1">
        <v>1830</v>
      </c>
      <c r="F415" s="1">
        <v>0.05</v>
      </c>
      <c r="G415" s="1">
        <v>0.13</v>
      </c>
      <c r="H415" s="1">
        <f t="shared" ref="H415:H425" si="157">F415*E415</f>
        <v>91.5</v>
      </c>
      <c r="I415" s="52">
        <f t="shared" ref="I415:I425" si="158">G415*(E415+H415)</f>
        <v>249.79500000000002</v>
      </c>
      <c r="J415" s="52">
        <f t="shared" ref="J415:J425" si="159">E415+H415+I415</f>
        <v>2171.2950000000001</v>
      </c>
      <c r="K415" s="53">
        <v>0.15</v>
      </c>
      <c r="L415" s="52">
        <f t="shared" ref="L415:L425" si="160">J415*K415</f>
        <v>325.69425000000001</v>
      </c>
      <c r="M415" s="52">
        <f t="shared" ref="M415:M425" si="161">J415+L415</f>
        <v>2496.9892500000001</v>
      </c>
      <c r="N415" s="53">
        <v>0.2</v>
      </c>
      <c r="O415" s="52">
        <f t="shared" ref="O415:O425" si="162">$M415/(1-N415)</f>
        <v>3121.2365624999998</v>
      </c>
      <c r="P415" s="1">
        <f t="shared" ref="P415:P425" si="163">MROUND(O415,10)</f>
        <v>3120</v>
      </c>
    </row>
    <row r="416" spans="2:16" x14ac:dyDescent="0.25">
      <c r="B416" s="54" t="s">
        <v>2284</v>
      </c>
      <c r="C416" s="1" t="s">
        <v>2619</v>
      </c>
      <c r="D416" s="1" t="s">
        <v>2617</v>
      </c>
      <c r="E416" s="1">
        <v>1430</v>
      </c>
      <c r="F416" s="1">
        <v>0.05</v>
      </c>
      <c r="G416" s="1">
        <v>0.13</v>
      </c>
      <c r="H416" s="1">
        <f t="shared" si="157"/>
        <v>71.5</v>
      </c>
      <c r="I416" s="52">
        <f t="shared" si="158"/>
        <v>195.19499999999999</v>
      </c>
      <c r="J416" s="52">
        <f t="shared" si="159"/>
        <v>1696.6949999999999</v>
      </c>
      <c r="K416" s="53">
        <v>0.15</v>
      </c>
      <c r="L416" s="52">
        <f t="shared" si="160"/>
        <v>254.50424999999998</v>
      </c>
      <c r="M416" s="52">
        <f t="shared" si="161"/>
        <v>1951.1992499999999</v>
      </c>
      <c r="N416" s="53">
        <v>0.2</v>
      </c>
      <c r="O416" s="52">
        <f t="shared" si="162"/>
        <v>2438.9990624999996</v>
      </c>
      <c r="P416" s="1">
        <f t="shared" si="163"/>
        <v>2440</v>
      </c>
    </row>
    <row r="417" spans="2:16" x14ac:dyDescent="0.25">
      <c r="B417" s="54" t="s">
        <v>2620</v>
      </c>
      <c r="C417" s="1" t="s">
        <v>2621</v>
      </c>
      <c r="D417" s="1" t="s">
        <v>2617</v>
      </c>
      <c r="E417" s="1">
        <v>1890</v>
      </c>
      <c r="F417" s="1">
        <v>0.05</v>
      </c>
      <c r="G417" s="1">
        <v>0.13</v>
      </c>
      <c r="H417" s="1">
        <f t="shared" si="157"/>
        <v>94.5</v>
      </c>
      <c r="I417" s="52">
        <f t="shared" si="158"/>
        <v>257.98500000000001</v>
      </c>
      <c r="J417" s="52">
        <f t="shared" si="159"/>
        <v>2242.4850000000001</v>
      </c>
      <c r="K417" s="53">
        <v>0.15</v>
      </c>
      <c r="L417" s="52">
        <f t="shared" si="160"/>
        <v>336.37275</v>
      </c>
      <c r="M417" s="52">
        <f t="shared" si="161"/>
        <v>2578.8577500000001</v>
      </c>
      <c r="N417" s="53">
        <v>0.2</v>
      </c>
      <c r="O417" s="52">
        <f t="shared" si="162"/>
        <v>3223.5721874999999</v>
      </c>
      <c r="P417" s="1">
        <f t="shared" si="163"/>
        <v>3220</v>
      </c>
    </row>
    <row r="418" spans="2:16" x14ac:dyDescent="0.25">
      <c r="B418" s="54" t="s">
        <v>2622</v>
      </c>
      <c r="C418" s="1" t="s">
        <v>2623</v>
      </c>
      <c r="D418" s="1" t="s">
        <v>2617</v>
      </c>
      <c r="E418" s="1">
        <v>1000</v>
      </c>
      <c r="F418" s="1">
        <v>0.05</v>
      </c>
      <c r="G418" s="1">
        <v>0.13</v>
      </c>
      <c r="H418" s="1">
        <f t="shared" si="157"/>
        <v>50</v>
      </c>
      <c r="I418" s="52">
        <f t="shared" si="158"/>
        <v>136.5</v>
      </c>
      <c r="J418" s="52">
        <f t="shared" si="159"/>
        <v>1186.5</v>
      </c>
      <c r="K418" s="53">
        <v>0.15</v>
      </c>
      <c r="L418" s="52">
        <f t="shared" si="160"/>
        <v>177.97499999999999</v>
      </c>
      <c r="M418" s="52">
        <f t="shared" si="161"/>
        <v>1364.4749999999999</v>
      </c>
      <c r="N418" s="53">
        <v>0.2</v>
      </c>
      <c r="O418" s="52">
        <f t="shared" si="162"/>
        <v>1705.5937499999998</v>
      </c>
      <c r="P418" s="1">
        <f t="shared" si="163"/>
        <v>1710</v>
      </c>
    </row>
    <row r="419" spans="2:16" x14ac:dyDescent="0.25">
      <c r="B419" s="54" t="s">
        <v>2624</v>
      </c>
      <c r="C419" s="1" t="s">
        <v>2625</v>
      </c>
      <c r="D419" s="1" t="s">
        <v>2617</v>
      </c>
      <c r="E419" s="1">
        <v>4840</v>
      </c>
      <c r="F419" s="1">
        <v>0.05</v>
      </c>
      <c r="G419" s="1">
        <v>0.13</v>
      </c>
      <c r="H419" s="1">
        <f t="shared" si="157"/>
        <v>242</v>
      </c>
      <c r="I419" s="52">
        <f t="shared" si="158"/>
        <v>660.66</v>
      </c>
      <c r="J419" s="52">
        <f t="shared" si="159"/>
        <v>5742.66</v>
      </c>
      <c r="K419" s="53">
        <v>0.15</v>
      </c>
      <c r="L419" s="52">
        <f t="shared" si="160"/>
        <v>861.399</v>
      </c>
      <c r="M419" s="52">
        <f t="shared" si="161"/>
        <v>6604.0590000000002</v>
      </c>
      <c r="N419" s="53">
        <v>0.2</v>
      </c>
      <c r="O419" s="52">
        <f t="shared" si="162"/>
        <v>8255.0737499999996</v>
      </c>
      <c r="P419" s="1">
        <f t="shared" si="163"/>
        <v>8260</v>
      </c>
    </row>
    <row r="420" spans="2:16" x14ac:dyDescent="0.25">
      <c r="B420" s="54" t="s">
        <v>2626</v>
      </c>
      <c r="C420" s="1" t="s">
        <v>2627</v>
      </c>
      <c r="D420" s="1" t="s">
        <v>2617</v>
      </c>
      <c r="E420" s="1">
        <v>7760</v>
      </c>
      <c r="F420" s="1">
        <v>0.05</v>
      </c>
      <c r="G420" s="1">
        <v>0.13</v>
      </c>
      <c r="H420" s="1">
        <f t="shared" si="157"/>
        <v>388</v>
      </c>
      <c r="I420" s="52">
        <f t="shared" si="158"/>
        <v>1059.24</v>
      </c>
      <c r="J420" s="52">
        <f t="shared" si="159"/>
        <v>9207.24</v>
      </c>
      <c r="K420" s="53">
        <v>0.15</v>
      </c>
      <c r="L420" s="52">
        <f t="shared" si="160"/>
        <v>1381.086</v>
      </c>
      <c r="M420" s="52">
        <f t="shared" si="161"/>
        <v>10588.325999999999</v>
      </c>
      <c r="N420" s="53">
        <v>0.2</v>
      </c>
      <c r="O420" s="52">
        <f t="shared" si="162"/>
        <v>13235.407499999998</v>
      </c>
      <c r="P420" s="1">
        <f t="shared" si="163"/>
        <v>13240</v>
      </c>
    </row>
    <row r="421" spans="2:16" x14ac:dyDescent="0.25">
      <c r="B421" s="54" t="s">
        <v>2628</v>
      </c>
      <c r="C421" s="1" t="s">
        <v>2629</v>
      </c>
      <c r="D421" s="1" t="s">
        <v>2617</v>
      </c>
      <c r="E421" s="1">
        <v>6560</v>
      </c>
      <c r="F421" s="1">
        <v>0.05</v>
      </c>
      <c r="G421" s="1">
        <v>0.13</v>
      </c>
      <c r="H421" s="1">
        <f t="shared" si="157"/>
        <v>328</v>
      </c>
      <c r="I421" s="52">
        <f t="shared" si="158"/>
        <v>895.44</v>
      </c>
      <c r="J421" s="52">
        <f t="shared" si="159"/>
        <v>7783.4400000000005</v>
      </c>
      <c r="K421" s="53">
        <v>0.15</v>
      </c>
      <c r="L421" s="52">
        <f t="shared" si="160"/>
        <v>1167.5160000000001</v>
      </c>
      <c r="M421" s="52">
        <f t="shared" si="161"/>
        <v>8950.9560000000001</v>
      </c>
      <c r="N421" s="53">
        <v>0.2</v>
      </c>
      <c r="O421" s="52">
        <f t="shared" si="162"/>
        <v>11188.695</v>
      </c>
      <c r="P421" s="1">
        <f t="shared" si="163"/>
        <v>11190</v>
      </c>
    </row>
    <row r="422" spans="2:16" x14ac:dyDescent="0.25">
      <c r="B422" s="54" t="s">
        <v>2630</v>
      </c>
      <c r="C422" s="1" t="s">
        <v>2631</v>
      </c>
      <c r="D422" s="1" t="s">
        <v>2617</v>
      </c>
      <c r="E422" s="1">
        <v>5070</v>
      </c>
      <c r="F422" s="1">
        <v>0.05</v>
      </c>
      <c r="G422" s="1">
        <v>0.13</v>
      </c>
      <c r="H422" s="1">
        <f t="shared" si="157"/>
        <v>253.5</v>
      </c>
      <c r="I422" s="52">
        <f t="shared" si="158"/>
        <v>692.05500000000006</v>
      </c>
      <c r="J422" s="52">
        <f t="shared" si="159"/>
        <v>6015.5550000000003</v>
      </c>
      <c r="K422" s="53">
        <v>0.15</v>
      </c>
      <c r="L422" s="52">
        <f t="shared" si="160"/>
        <v>902.33325000000002</v>
      </c>
      <c r="M422" s="52">
        <f t="shared" si="161"/>
        <v>6917.88825</v>
      </c>
      <c r="N422" s="53">
        <v>0.2</v>
      </c>
      <c r="O422" s="52">
        <f t="shared" si="162"/>
        <v>8647.3603124999991</v>
      </c>
      <c r="P422" s="1">
        <f t="shared" si="163"/>
        <v>8650</v>
      </c>
    </row>
    <row r="423" spans="2:16" x14ac:dyDescent="0.25">
      <c r="B423" s="54" t="s">
        <v>2632</v>
      </c>
      <c r="C423" s="1" t="s">
        <v>2633</v>
      </c>
      <c r="D423" s="1" t="s">
        <v>2617</v>
      </c>
      <c r="E423" s="1">
        <v>2390</v>
      </c>
      <c r="F423" s="1">
        <v>0.05</v>
      </c>
      <c r="G423" s="1">
        <v>0.13</v>
      </c>
      <c r="H423" s="1">
        <f t="shared" si="157"/>
        <v>119.5</v>
      </c>
      <c r="I423" s="52">
        <f t="shared" si="158"/>
        <v>326.23500000000001</v>
      </c>
      <c r="J423" s="52">
        <f t="shared" si="159"/>
        <v>2835.7350000000001</v>
      </c>
      <c r="K423" s="53">
        <v>0.15</v>
      </c>
      <c r="L423" s="52">
        <f t="shared" si="160"/>
        <v>425.36025000000001</v>
      </c>
      <c r="M423" s="52">
        <f t="shared" si="161"/>
        <v>3261.0952500000003</v>
      </c>
      <c r="N423" s="53">
        <v>0.2</v>
      </c>
      <c r="O423" s="52">
        <f t="shared" si="162"/>
        <v>4076.3690625000004</v>
      </c>
      <c r="P423" s="1">
        <f t="shared" si="163"/>
        <v>4080</v>
      </c>
    </row>
    <row r="424" spans="2:16" x14ac:dyDescent="0.25">
      <c r="B424" s="54"/>
      <c r="C424" s="1" t="s">
        <v>2634</v>
      </c>
      <c r="D424" s="1" t="s">
        <v>2617</v>
      </c>
      <c r="E424" s="1"/>
      <c r="F424" s="1"/>
      <c r="G424" s="1"/>
      <c r="H424" s="1"/>
      <c r="I424" s="52"/>
      <c r="J424" s="52"/>
      <c r="K424" s="53"/>
      <c r="L424" s="52"/>
      <c r="M424" s="52"/>
      <c r="N424" s="53"/>
      <c r="O424" s="52"/>
      <c r="P424" s="1">
        <v>6890</v>
      </c>
    </row>
    <row r="425" spans="2:16" x14ac:dyDescent="0.25">
      <c r="B425" s="54" t="s">
        <v>2635</v>
      </c>
      <c r="C425" s="1" t="s">
        <v>2636</v>
      </c>
      <c r="D425" s="1" t="s">
        <v>2617</v>
      </c>
      <c r="E425" s="1">
        <v>2880</v>
      </c>
      <c r="F425" s="1">
        <v>0.05</v>
      </c>
      <c r="G425" s="1">
        <v>0.13</v>
      </c>
      <c r="H425" s="1">
        <f t="shared" si="157"/>
        <v>144</v>
      </c>
      <c r="I425" s="52">
        <f t="shared" si="158"/>
        <v>393.12</v>
      </c>
      <c r="J425" s="52">
        <f t="shared" si="159"/>
        <v>3417.12</v>
      </c>
      <c r="K425" s="53">
        <v>0.15</v>
      </c>
      <c r="L425" s="52">
        <f t="shared" si="160"/>
        <v>512.56799999999998</v>
      </c>
      <c r="M425" s="52">
        <f t="shared" si="161"/>
        <v>3929.6880000000001</v>
      </c>
      <c r="N425" s="53">
        <v>0.2</v>
      </c>
      <c r="O425" s="52">
        <f t="shared" si="162"/>
        <v>4912.1099999999997</v>
      </c>
      <c r="P425" s="1">
        <f t="shared" si="163"/>
        <v>4910</v>
      </c>
    </row>
    <row r="426" spans="2:16" x14ac:dyDescent="0.25">
      <c r="B426" s="125" t="s">
        <v>2637</v>
      </c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</row>
    <row r="427" spans="2:16" x14ac:dyDescent="0.25">
      <c r="B427" s="50" t="s">
        <v>2638</v>
      </c>
      <c r="C427" s="51" t="s">
        <v>2639</v>
      </c>
      <c r="D427" s="51" t="s">
        <v>2637</v>
      </c>
      <c r="E427" s="1">
        <v>4270</v>
      </c>
      <c r="F427" s="1">
        <v>0.05</v>
      </c>
      <c r="G427" s="1">
        <v>0.13</v>
      </c>
      <c r="H427" s="1">
        <f>F427*E427</f>
        <v>213.5</v>
      </c>
      <c r="I427" s="52">
        <f>G427*(E427+H427)</f>
        <v>582.85500000000002</v>
      </c>
      <c r="J427" s="52">
        <f>E427+H427+I427</f>
        <v>5066.3549999999996</v>
      </c>
      <c r="K427" s="53">
        <v>0.15</v>
      </c>
      <c r="L427" s="52">
        <f>J427*K427</f>
        <v>759.95324999999991</v>
      </c>
      <c r="M427" s="52">
        <f>J427+L427</f>
        <v>5826.3082499999991</v>
      </c>
      <c r="N427" s="53">
        <v>0.2</v>
      </c>
      <c r="O427" s="52">
        <f>$M427/(1-N427)</f>
        <v>7282.8853124999987</v>
      </c>
      <c r="P427" s="1">
        <f>MROUND(O427,10)</f>
        <v>7280</v>
      </c>
    </row>
    <row r="428" spans="2:16" x14ac:dyDescent="0.25">
      <c r="B428" s="50" t="s">
        <v>2640</v>
      </c>
      <c r="C428" s="51" t="s">
        <v>2641</v>
      </c>
      <c r="D428" s="51" t="s">
        <v>2637</v>
      </c>
      <c r="E428" s="1">
        <v>4410</v>
      </c>
      <c r="F428" s="1">
        <v>0.05</v>
      </c>
      <c r="G428" s="1">
        <v>0.13</v>
      </c>
      <c r="H428" s="1">
        <f>F428*E428</f>
        <v>220.5</v>
      </c>
      <c r="I428" s="52">
        <f>G428*(E428+H428)</f>
        <v>601.96500000000003</v>
      </c>
      <c r="J428" s="52">
        <f>E428+H428+I428</f>
        <v>5232.4650000000001</v>
      </c>
      <c r="K428" s="53">
        <v>0.15</v>
      </c>
      <c r="L428" s="52">
        <f>J428*K428</f>
        <v>784.86974999999995</v>
      </c>
      <c r="M428" s="52">
        <f>J428+L428</f>
        <v>6017.33475</v>
      </c>
      <c r="N428" s="53">
        <v>0.2</v>
      </c>
      <c r="O428" s="52">
        <f>$M428/(1-N428)</f>
        <v>7521.6684374999995</v>
      </c>
      <c r="P428" s="1">
        <f>MROUND(O428,10)</f>
        <v>7520</v>
      </c>
    </row>
    <row r="429" spans="2:16" x14ac:dyDescent="0.25">
      <c r="B429" s="50" t="s">
        <v>2642</v>
      </c>
      <c r="C429" s="51" t="s">
        <v>2643</v>
      </c>
      <c r="D429" s="51" t="s">
        <v>2637</v>
      </c>
      <c r="E429" s="1">
        <v>5200</v>
      </c>
      <c r="F429" s="1">
        <v>0.05</v>
      </c>
      <c r="G429" s="1">
        <v>0.13</v>
      </c>
      <c r="H429" s="1">
        <f>F429*E429</f>
        <v>260</v>
      </c>
      <c r="I429" s="52">
        <f>G429*(E429+H429)</f>
        <v>709.80000000000007</v>
      </c>
      <c r="J429" s="52">
        <f>E429+H429+I429</f>
        <v>6169.8</v>
      </c>
      <c r="K429" s="53">
        <v>0.15</v>
      </c>
      <c r="L429" s="52">
        <f>J429*K429</f>
        <v>925.47</v>
      </c>
      <c r="M429" s="52">
        <f>J429+L429</f>
        <v>7095.27</v>
      </c>
      <c r="N429" s="53">
        <v>0.2</v>
      </c>
      <c r="O429" s="52">
        <f>$M429/(1-N429)</f>
        <v>8869.0874999999996</v>
      </c>
      <c r="P429" s="1">
        <f>MROUND(O429,10)</f>
        <v>8870</v>
      </c>
    </row>
    <row r="430" spans="2:16" x14ac:dyDescent="0.25">
      <c r="B430" s="129" t="s">
        <v>2644</v>
      </c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</row>
    <row r="431" spans="2:16" x14ac:dyDescent="0.25">
      <c r="B431" s="54" t="s">
        <v>2645</v>
      </c>
      <c r="C431" s="1" t="s">
        <v>2646</v>
      </c>
      <c r="D431" s="1" t="s">
        <v>2647</v>
      </c>
      <c r="E431" s="1">
        <v>1270</v>
      </c>
      <c r="F431" s="1">
        <v>0.05</v>
      </c>
      <c r="G431" s="1">
        <v>0.13</v>
      </c>
      <c r="H431" s="1">
        <f>F431*E431</f>
        <v>63.5</v>
      </c>
      <c r="I431" s="52">
        <f>G431*(E431+H431)</f>
        <v>173.35500000000002</v>
      </c>
      <c r="J431" s="52">
        <f>E431+H431+I431</f>
        <v>1506.855</v>
      </c>
      <c r="K431" s="53">
        <v>0.15</v>
      </c>
      <c r="L431" s="52">
        <f>J431*K431</f>
        <v>226.02824999999999</v>
      </c>
      <c r="M431" s="52">
        <f>J431+L431</f>
        <v>1732.8832500000001</v>
      </c>
      <c r="N431" s="53">
        <v>0.2</v>
      </c>
      <c r="O431" s="52">
        <f>$M431/(1-N431)</f>
        <v>2166.1040625000001</v>
      </c>
      <c r="P431" s="1">
        <f>MROUND(O431,10)</f>
        <v>2170</v>
      </c>
    </row>
    <row r="432" spans="2:16" x14ac:dyDescent="0.25">
      <c r="B432" s="50" t="s">
        <v>2648</v>
      </c>
      <c r="C432" s="51" t="s">
        <v>2649</v>
      </c>
      <c r="D432" s="51" t="s">
        <v>2650</v>
      </c>
      <c r="E432" s="1">
        <v>1200</v>
      </c>
      <c r="F432" s="1">
        <v>0.05</v>
      </c>
      <c r="G432" s="1">
        <v>0.13</v>
      </c>
      <c r="H432" s="1">
        <f>F432*E432</f>
        <v>60</v>
      </c>
      <c r="I432" s="52">
        <f>G432*(E432+H432)</f>
        <v>163.80000000000001</v>
      </c>
      <c r="J432" s="52">
        <f>E432+H432+I432</f>
        <v>1423.8</v>
      </c>
      <c r="K432" s="53">
        <v>0.15</v>
      </c>
      <c r="L432" s="52">
        <f>J432*K432</f>
        <v>213.57</v>
      </c>
      <c r="M432" s="52">
        <f>J432+L432</f>
        <v>1637.37</v>
      </c>
      <c r="N432" s="53">
        <v>0.2</v>
      </c>
      <c r="O432" s="52">
        <f>$M432/(1-N432)</f>
        <v>2046.7124999999999</v>
      </c>
      <c r="P432" s="1">
        <f>MROUND(O432,10)</f>
        <v>2050</v>
      </c>
    </row>
    <row r="433" spans="2:16" x14ac:dyDescent="0.25">
      <c r="B433" s="125" t="s">
        <v>2651</v>
      </c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</row>
    <row r="434" spans="2:16" x14ac:dyDescent="0.25">
      <c r="B434" s="50" t="s">
        <v>2652</v>
      </c>
      <c r="C434" s="51" t="s">
        <v>2653</v>
      </c>
      <c r="D434" s="51" t="s">
        <v>2651</v>
      </c>
      <c r="E434" s="1">
        <v>4760</v>
      </c>
      <c r="F434" s="1">
        <v>0.05</v>
      </c>
      <c r="G434" s="1">
        <v>0.13</v>
      </c>
      <c r="H434" s="1">
        <f>F434*E434</f>
        <v>238</v>
      </c>
      <c r="I434" s="52">
        <f>G434*(E434+H434)</f>
        <v>649.74</v>
      </c>
      <c r="J434" s="52">
        <f>E434+H434+I434</f>
        <v>5647.74</v>
      </c>
      <c r="K434" s="53">
        <v>0.15</v>
      </c>
      <c r="L434" s="52">
        <f>J434*K434</f>
        <v>847.16099999999994</v>
      </c>
      <c r="M434" s="52">
        <f>J434+L434</f>
        <v>6494.9009999999998</v>
      </c>
      <c r="N434" s="53">
        <v>0.2</v>
      </c>
      <c r="O434" s="52">
        <f>$M434/(1-N434)</f>
        <v>8118.6262499999993</v>
      </c>
      <c r="P434" s="1">
        <f>MROUND(O434,10)</f>
        <v>8120</v>
      </c>
    </row>
    <row r="435" spans="2:16" x14ac:dyDescent="0.25">
      <c r="B435" s="50" t="s">
        <v>2654</v>
      </c>
      <c r="C435" s="51" t="s">
        <v>2655</v>
      </c>
      <c r="D435" s="51" t="s">
        <v>2651</v>
      </c>
      <c r="E435" s="1">
        <v>14100</v>
      </c>
      <c r="F435" s="1">
        <v>0.05</v>
      </c>
      <c r="G435" s="1">
        <v>0.13</v>
      </c>
      <c r="H435" s="1">
        <f>F435*E435</f>
        <v>705</v>
      </c>
      <c r="I435" s="52">
        <f>G435*(E435+H435)</f>
        <v>1924.65</v>
      </c>
      <c r="J435" s="52">
        <f>E435+H435+I435</f>
        <v>16729.650000000001</v>
      </c>
      <c r="K435" s="53">
        <v>0.15</v>
      </c>
      <c r="L435" s="52">
        <f>J435*K435</f>
        <v>2509.4475000000002</v>
      </c>
      <c r="M435" s="52">
        <f>J435+L435</f>
        <v>19239.097500000003</v>
      </c>
      <c r="N435" s="53">
        <v>0.2</v>
      </c>
      <c r="O435" s="52">
        <f>$M435/(1-N435)</f>
        <v>24048.871875000004</v>
      </c>
      <c r="P435" s="1">
        <f>MROUND(O435,10)</f>
        <v>24050</v>
      </c>
    </row>
    <row r="436" spans="2:16" x14ac:dyDescent="0.25">
      <c r="B436" s="125" t="s">
        <v>2656</v>
      </c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</row>
    <row r="437" spans="2:16" x14ac:dyDescent="0.25">
      <c r="B437" s="50" t="s">
        <v>2657</v>
      </c>
      <c r="C437" s="51" t="s">
        <v>2658</v>
      </c>
      <c r="D437" s="51" t="s">
        <v>2659</v>
      </c>
      <c r="E437" s="1">
        <v>3990</v>
      </c>
      <c r="F437" s="1">
        <v>0.05</v>
      </c>
      <c r="G437" s="1">
        <v>0.13</v>
      </c>
      <c r="H437" s="1">
        <f>F437*E437</f>
        <v>199.5</v>
      </c>
      <c r="I437" s="52">
        <f>G437*(E437+H437)</f>
        <v>544.63499999999999</v>
      </c>
      <c r="J437" s="52">
        <f>E437+H437+I437</f>
        <v>4734.1350000000002</v>
      </c>
      <c r="K437" s="53">
        <v>0.15</v>
      </c>
      <c r="L437" s="52">
        <f>J437*K437</f>
        <v>710.12025000000006</v>
      </c>
      <c r="M437" s="52">
        <f>J437+L437</f>
        <v>5444.2552500000002</v>
      </c>
      <c r="N437" s="53">
        <v>0.2</v>
      </c>
      <c r="O437" s="52">
        <f>$M437/(1-N437)</f>
        <v>6805.3190624999997</v>
      </c>
      <c r="P437" s="1">
        <f>MROUND(O437,10)</f>
        <v>6810</v>
      </c>
    </row>
    <row r="438" spans="2:16" x14ac:dyDescent="0.25">
      <c r="B438" s="50" t="s">
        <v>2660</v>
      </c>
      <c r="C438" s="51" t="s">
        <v>2661</v>
      </c>
      <c r="D438" s="51" t="s">
        <v>2659</v>
      </c>
      <c r="E438" s="1">
        <v>4610</v>
      </c>
      <c r="F438" s="1">
        <v>0.05</v>
      </c>
      <c r="G438" s="1">
        <v>0.13</v>
      </c>
      <c r="H438" s="1">
        <f>F438*E438</f>
        <v>230.5</v>
      </c>
      <c r="I438" s="52">
        <f>G438*(E438+H438)</f>
        <v>629.26499999999999</v>
      </c>
      <c r="J438" s="52">
        <f>E438+H438+I438</f>
        <v>5469.7650000000003</v>
      </c>
      <c r="K438" s="53">
        <v>0.15</v>
      </c>
      <c r="L438" s="52">
        <f>J438*K438</f>
        <v>820.46474999999998</v>
      </c>
      <c r="M438" s="52">
        <f>J438+L438</f>
        <v>6290.2297500000004</v>
      </c>
      <c r="N438" s="53">
        <v>0.2</v>
      </c>
      <c r="O438" s="52">
        <f>$M438/(1-N438)</f>
        <v>7862.7871875000001</v>
      </c>
      <c r="P438" s="1">
        <f>MROUND(O438,10)</f>
        <v>7860</v>
      </c>
    </row>
    <row r="439" spans="2:16" x14ac:dyDescent="0.25">
      <c r="B439" s="125" t="s">
        <v>2662</v>
      </c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</row>
    <row r="440" spans="2:16" x14ac:dyDescent="0.25">
      <c r="B440" s="50" t="s">
        <v>2663</v>
      </c>
      <c r="C440" s="51" t="s">
        <v>2664</v>
      </c>
      <c r="D440" s="51" t="s">
        <v>2665</v>
      </c>
      <c r="E440" s="1">
        <v>1490</v>
      </c>
      <c r="F440" s="1">
        <v>0.05</v>
      </c>
      <c r="G440" s="1">
        <v>0.13</v>
      </c>
      <c r="H440" s="1">
        <f>F440*E440</f>
        <v>74.5</v>
      </c>
      <c r="I440" s="52">
        <f>G440*(E440+H440)</f>
        <v>203.38500000000002</v>
      </c>
      <c r="J440" s="52">
        <f>E440+H440+I440</f>
        <v>1767.885</v>
      </c>
      <c r="K440" s="53">
        <v>0.15</v>
      </c>
      <c r="L440" s="52">
        <f>J440*K440</f>
        <v>265.18275</v>
      </c>
      <c r="M440" s="52">
        <f>J440+L440</f>
        <v>2033.0677499999999</v>
      </c>
      <c r="N440" s="53">
        <v>0.2</v>
      </c>
      <c r="O440" s="52">
        <f>$M440/(1-N440)</f>
        <v>2541.3346874999997</v>
      </c>
      <c r="P440" s="1">
        <f>MROUND(O440,10)</f>
        <v>2540</v>
      </c>
    </row>
    <row r="441" spans="2:16" x14ac:dyDescent="0.25">
      <c r="B441" s="50" t="s">
        <v>2666</v>
      </c>
      <c r="C441" s="51" t="s">
        <v>2667</v>
      </c>
      <c r="D441" s="51" t="s">
        <v>2665</v>
      </c>
      <c r="E441" s="1">
        <v>1120</v>
      </c>
      <c r="F441" s="1">
        <v>0.05</v>
      </c>
      <c r="G441" s="1">
        <v>0.13</v>
      </c>
      <c r="H441" s="1">
        <f>F441*E441</f>
        <v>56</v>
      </c>
      <c r="I441" s="52">
        <f>G441*(E441+H441)</f>
        <v>152.88</v>
      </c>
      <c r="J441" s="52">
        <f>E441+H441+I441</f>
        <v>1328.88</v>
      </c>
      <c r="K441" s="53">
        <v>0.15</v>
      </c>
      <c r="L441" s="52">
        <f>J441*K441</f>
        <v>199.33200000000002</v>
      </c>
      <c r="M441" s="52">
        <f>J441+L441</f>
        <v>1528.2120000000002</v>
      </c>
      <c r="N441" s="53">
        <v>0.2</v>
      </c>
      <c r="O441" s="52">
        <f>$M441/(1-N441)</f>
        <v>1910.2650000000001</v>
      </c>
      <c r="P441" s="1">
        <f>MROUND(O441,10)</f>
        <v>1910</v>
      </c>
    </row>
    <row r="442" spans="2:16" x14ac:dyDescent="0.25">
      <c r="B442" s="50" t="s">
        <v>2668</v>
      </c>
      <c r="C442" s="51" t="s">
        <v>2669</v>
      </c>
      <c r="D442" s="51" t="s">
        <v>2665</v>
      </c>
      <c r="E442" s="1">
        <v>3380</v>
      </c>
      <c r="F442" s="1">
        <v>0.05</v>
      </c>
      <c r="G442" s="1">
        <v>0.13</v>
      </c>
      <c r="H442" s="1">
        <f>F442*E442</f>
        <v>169</v>
      </c>
      <c r="I442" s="52">
        <f>G442*(E442+H442)</f>
        <v>461.37</v>
      </c>
      <c r="J442" s="52">
        <f>E442+H442+I442</f>
        <v>4010.37</v>
      </c>
      <c r="K442" s="53">
        <v>0.15</v>
      </c>
      <c r="L442" s="52">
        <f>J442*K442</f>
        <v>601.55549999999994</v>
      </c>
      <c r="M442" s="52">
        <f>J442+L442</f>
        <v>4611.9254999999994</v>
      </c>
      <c r="N442" s="53">
        <v>0.2</v>
      </c>
      <c r="O442" s="52">
        <f>$M442/(1-N442)</f>
        <v>5764.9068749999988</v>
      </c>
      <c r="P442" s="1">
        <f>MROUND(O442,10)</f>
        <v>5760</v>
      </c>
    </row>
    <row r="443" spans="2:16" x14ac:dyDescent="0.25">
      <c r="B443" s="50" t="s">
        <v>2670</v>
      </c>
      <c r="C443" s="51" t="s">
        <v>2671</v>
      </c>
      <c r="D443" s="51" t="s">
        <v>2665</v>
      </c>
      <c r="E443" s="1">
        <v>3970</v>
      </c>
      <c r="F443" s="1">
        <v>0.05</v>
      </c>
      <c r="G443" s="1">
        <v>0.13</v>
      </c>
      <c r="H443" s="1">
        <f>F443*E443</f>
        <v>198.5</v>
      </c>
      <c r="I443" s="52">
        <f>G443*(E443+H443)</f>
        <v>541.90499999999997</v>
      </c>
      <c r="J443" s="52">
        <f>E443+H443+I443</f>
        <v>4710.4049999999997</v>
      </c>
      <c r="K443" s="53">
        <v>0.15</v>
      </c>
      <c r="L443" s="52">
        <f>J443*K443</f>
        <v>706.56074999999998</v>
      </c>
      <c r="M443" s="52">
        <f>J443+L443</f>
        <v>5416.9657499999994</v>
      </c>
      <c r="N443" s="53">
        <v>0.2</v>
      </c>
      <c r="O443" s="52">
        <f>$M443/(1-N443)</f>
        <v>6771.2071874999992</v>
      </c>
      <c r="P443" s="1">
        <f>MROUND(O443,10)</f>
        <v>6770</v>
      </c>
    </row>
    <row r="444" spans="2:16" x14ac:dyDescent="0.25">
      <c r="B444" s="125" t="s">
        <v>2672</v>
      </c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</row>
    <row r="445" spans="2:16" x14ac:dyDescent="0.25">
      <c r="B445" s="50" t="s">
        <v>2673</v>
      </c>
      <c r="C445" s="51" t="s">
        <v>2674</v>
      </c>
      <c r="D445" s="51" t="s">
        <v>2665</v>
      </c>
      <c r="E445" s="1">
        <v>3140</v>
      </c>
      <c r="F445" s="1">
        <v>0.05</v>
      </c>
      <c r="G445" s="1">
        <v>0.13</v>
      </c>
      <c r="H445" s="1">
        <f>F445*E445</f>
        <v>157</v>
      </c>
      <c r="I445" s="52">
        <f>G445*(E445+H445)</f>
        <v>428.61</v>
      </c>
      <c r="J445" s="52">
        <f>E445+H445+I445</f>
        <v>3725.61</v>
      </c>
      <c r="K445" s="53">
        <v>0.15</v>
      </c>
      <c r="L445" s="52">
        <f>J445*K445</f>
        <v>558.8415</v>
      </c>
      <c r="M445" s="52">
        <f>J445+L445</f>
        <v>4284.4515000000001</v>
      </c>
      <c r="N445" s="53">
        <v>0.2</v>
      </c>
      <c r="O445" s="52">
        <f>$M445/(1-N445)</f>
        <v>5355.5643749999999</v>
      </c>
      <c r="P445" s="1">
        <f>MROUND(O445,10)</f>
        <v>5360</v>
      </c>
    </row>
    <row r="446" spans="2:16" x14ac:dyDescent="0.25">
      <c r="B446" s="50" t="s">
        <v>2675</v>
      </c>
      <c r="C446" s="51" t="s">
        <v>2676</v>
      </c>
      <c r="D446" s="51" t="s">
        <v>2665</v>
      </c>
      <c r="E446" s="1">
        <v>2240</v>
      </c>
      <c r="F446" s="1">
        <v>0.05</v>
      </c>
      <c r="G446" s="1">
        <v>0.13</v>
      </c>
      <c r="H446" s="1">
        <f>F446*E446</f>
        <v>112</v>
      </c>
      <c r="I446" s="52">
        <f>G446*(E446+H446)</f>
        <v>305.76</v>
      </c>
      <c r="J446" s="52">
        <f>E446+H446+I446</f>
        <v>2657.76</v>
      </c>
      <c r="K446" s="53">
        <v>0.15</v>
      </c>
      <c r="L446" s="52">
        <f>J446*K446</f>
        <v>398.66400000000004</v>
      </c>
      <c r="M446" s="52">
        <f>J446+L446</f>
        <v>3056.4240000000004</v>
      </c>
      <c r="N446" s="53">
        <v>0.2</v>
      </c>
      <c r="O446" s="52">
        <f>$M446/(1-N446)</f>
        <v>3820.53</v>
      </c>
      <c r="P446" s="1">
        <f>MROUND(O446,10)</f>
        <v>3820</v>
      </c>
    </row>
    <row r="447" spans="2:16" x14ac:dyDescent="0.25">
      <c r="B447" s="50" t="s">
        <v>2677</v>
      </c>
      <c r="C447" s="51" t="s">
        <v>2678</v>
      </c>
      <c r="D447" s="51" t="s">
        <v>2665</v>
      </c>
      <c r="E447" s="1">
        <v>2190</v>
      </c>
      <c r="F447" s="1">
        <v>0.05</v>
      </c>
      <c r="G447" s="1">
        <v>0.13</v>
      </c>
      <c r="H447" s="1">
        <f>F447*E447</f>
        <v>109.5</v>
      </c>
      <c r="I447" s="52">
        <f>G447*(E447+H447)</f>
        <v>298.935</v>
      </c>
      <c r="J447" s="52">
        <f>E447+H447+I447</f>
        <v>2598.4349999999999</v>
      </c>
      <c r="K447" s="53">
        <v>0.15</v>
      </c>
      <c r="L447" s="52">
        <f>J447*K447</f>
        <v>389.76524999999998</v>
      </c>
      <c r="M447" s="52">
        <f>J447+L447</f>
        <v>2988.2002499999999</v>
      </c>
      <c r="N447" s="53">
        <v>0.2</v>
      </c>
      <c r="O447" s="52">
        <f>$M447/(1-N447)</f>
        <v>3735.2503124999998</v>
      </c>
      <c r="P447" s="1">
        <f>MROUND(O447,10)</f>
        <v>3740</v>
      </c>
    </row>
    <row r="448" spans="2:16" x14ac:dyDescent="0.25">
      <c r="B448" s="50" t="s">
        <v>2679</v>
      </c>
      <c r="C448" s="51" t="s">
        <v>2680</v>
      </c>
      <c r="D448" s="51" t="s">
        <v>2665</v>
      </c>
      <c r="E448" s="1">
        <v>2480</v>
      </c>
      <c r="F448" s="1">
        <v>0.05</v>
      </c>
      <c r="G448" s="1">
        <v>0.13</v>
      </c>
      <c r="H448" s="1">
        <f>F448*E448</f>
        <v>124</v>
      </c>
      <c r="I448" s="52">
        <f>G448*(E448+H448)</f>
        <v>338.52000000000004</v>
      </c>
      <c r="J448" s="52">
        <f>E448+H448+I448</f>
        <v>2942.52</v>
      </c>
      <c r="K448" s="53">
        <v>0.15</v>
      </c>
      <c r="L448" s="52">
        <f>J448*K448</f>
        <v>441.37799999999999</v>
      </c>
      <c r="M448" s="52">
        <f>J448+L448</f>
        <v>3383.8980000000001</v>
      </c>
      <c r="N448" s="53">
        <v>0.2</v>
      </c>
      <c r="O448" s="52">
        <f>$M448/(1-N448)</f>
        <v>4229.8724999999995</v>
      </c>
      <c r="P448" s="1">
        <f>MROUND(O448,10)</f>
        <v>4230</v>
      </c>
    </row>
    <row r="449" spans="2:16" x14ac:dyDescent="0.25">
      <c r="B449" s="125" t="s">
        <v>2681</v>
      </c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</row>
    <row r="450" spans="2:16" x14ac:dyDescent="0.25">
      <c r="B450" s="50" t="s">
        <v>2682</v>
      </c>
      <c r="C450" s="51" t="s">
        <v>2683</v>
      </c>
      <c r="D450" s="51" t="s">
        <v>2681</v>
      </c>
      <c r="E450" s="1">
        <v>890</v>
      </c>
      <c r="F450" s="1">
        <v>0.05</v>
      </c>
      <c r="G450" s="1">
        <v>0.13</v>
      </c>
      <c r="H450" s="1">
        <f>F450*E450</f>
        <v>44.5</v>
      </c>
      <c r="I450" s="52">
        <f>G450*(E450+H450)</f>
        <v>121.485</v>
      </c>
      <c r="J450" s="52">
        <f>E450+H450+I450</f>
        <v>1055.9849999999999</v>
      </c>
      <c r="K450" s="53">
        <v>0.15</v>
      </c>
      <c r="L450" s="52">
        <f>J450*K450</f>
        <v>158.39774999999997</v>
      </c>
      <c r="M450" s="52">
        <f>J450+L450</f>
        <v>1214.3827499999998</v>
      </c>
      <c r="N450" s="53">
        <v>0.2</v>
      </c>
      <c r="O450" s="52">
        <f>$M450/(1-N450)</f>
        <v>1517.9784374999997</v>
      </c>
      <c r="P450" s="1">
        <f>MROUND(O450,10)</f>
        <v>1520</v>
      </c>
    </row>
    <row r="451" spans="2:16" x14ac:dyDescent="0.25">
      <c r="B451" s="50" t="s">
        <v>2684</v>
      </c>
      <c r="C451" s="51" t="s">
        <v>2685</v>
      </c>
      <c r="D451" s="51" t="s">
        <v>2681</v>
      </c>
      <c r="E451" s="1">
        <v>1780</v>
      </c>
      <c r="F451" s="1">
        <v>0.05</v>
      </c>
      <c r="G451" s="1">
        <v>0.13</v>
      </c>
      <c r="H451" s="1">
        <f>F451*E451</f>
        <v>89</v>
      </c>
      <c r="I451" s="52">
        <f>G451*(E451+H451)</f>
        <v>242.97</v>
      </c>
      <c r="J451" s="52">
        <f>E451+H451+I451</f>
        <v>2111.9699999999998</v>
      </c>
      <c r="K451" s="53">
        <v>0.15</v>
      </c>
      <c r="L451" s="52">
        <f>J451*K451</f>
        <v>316.79549999999995</v>
      </c>
      <c r="M451" s="52">
        <f>J451+L451</f>
        <v>2428.7654999999995</v>
      </c>
      <c r="N451" s="53">
        <v>0.2</v>
      </c>
      <c r="O451" s="52">
        <f>$M451/(1-N451)</f>
        <v>3035.9568749999994</v>
      </c>
      <c r="P451" s="1">
        <f>MROUND(O451,10)</f>
        <v>3040</v>
      </c>
    </row>
    <row r="452" spans="2:16" x14ac:dyDescent="0.25">
      <c r="B452" s="50" t="s">
        <v>2686</v>
      </c>
      <c r="C452" s="51" t="s">
        <v>2687</v>
      </c>
      <c r="D452" s="51" t="s">
        <v>2681</v>
      </c>
      <c r="E452" s="1">
        <v>2150</v>
      </c>
      <c r="F452" s="1">
        <v>0.05</v>
      </c>
      <c r="G452" s="1">
        <v>0.13</v>
      </c>
      <c r="H452" s="1">
        <f>F452*E452</f>
        <v>107.5</v>
      </c>
      <c r="I452" s="52">
        <f>G452*(E452+H452)</f>
        <v>293.47500000000002</v>
      </c>
      <c r="J452" s="52">
        <f>E452+H452+I452</f>
        <v>2550.9749999999999</v>
      </c>
      <c r="K452" s="53">
        <v>0.15</v>
      </c>
      <c r="L452" s="52">
        <f>J452*K452</f>
        <v>382.64624999999995</v>
      </c>
      <c r="M452" s="52">
        <f>J452+L452</f>
        <v>2933.6212499999997</v>
      </c>
      <c r="N452" s="53">
        <v>0.2</v>
      </c>
      <c r="O452" s="52">
        <f>$M452/(1-N452)</f>
        <v>3667.0265624999993</v>
      </c>
      <c r="P452" s="1">
        <f>MROUND(O452,10)</f>
        <v>3670</v>
      </c>
    </row>
    <row r="453" spans="2:16" x14ac:dyDescent="0.25">
      <c r="B453" s="50" t="s">
        <v>2688</v>
      </c>
      <c r="C453" s="51" t="s">
        <v>2689</v>
      </c>
      <c r="D453" s="51" t="s">
        <v>2681</v>
      </c>
      <c r="E453" s="1">
        <v>2150</v>
      </c>
      <c r="F453" s="1">
        <v>0.05</v>
      </c>
      <c r="G453" s="1">
        <v>0.13</v>
      </c>
      <c r="H453" s="1">
        <f>F453*E453</f>
        <v>107.5</v>
      </c>
      <c r="I453" s="52">
        <v>293.47500000000002</v>
      </c>
      <c r="J453" s="52">
        <v>2550.9749999999999</v>
      </c>
      <c r="K453" s="53">
        <v>0.15</v>
      </c>
      <c r="L453" s="52">
        <v>382.64624999999995</v>
      </c>
      <c r="M453" s="52">
        <v>2933.6212499999997</v>
      </c>
      <c r="N453" s="53">
        <v>0.2</v>
      </c>
      <c r="O453" s="52">
        <v>3667.0265624999993</v>
      </c>
      <c r="P453" s="1">
        <v>3670</v>
      </c>
    </row>
    <row r="454" spans="2:16" x14ac:dyDescent="0.25">
      <c r="B454" s="125" t="s">
        <v>2690</v>
      </c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</row>
    <row r="455" spans="2:16" x14ac:dyDescent="0.25">
      <c r="B455" s="50" t="s">
        <v>2691</v>
      </c>
      <c r="C455" s="51" t="s">
        <v>2692</v>
      </c>
      <c r="D455" s="51" t="s">
        <v>2693</v>
      </c>
      <c r="E455" s="1">
        <v>6710</v>
      </c>
      <c r="F455" s="1">
        <v>0.05</v>
      </c>
      <c r="G455" s="1">
        <v>0.13</v>
      </c>
      <c r="H455" s="1">
        <f t="shared" ref="H455:H460" si="164">F455*E455</f>
        <v>335.5</v>
      </c>
      <c r="I455" s="52">
        <f t="shared" ref="I455:I460" si="165">G455*(E455+H455)</f>
        <v>915.91500000000008</v>
      </c>
      <c r="J455" s="52">
        <f t="shared" ref="J455:J460" si="166">E455+H455+I455</f>
        <v>7961.415</v>
      </c>
      <c r="K455" s="53">
        <v>0.15</v>
      </c>
      <c r="L455" s="52">
        <f t="shared" ref="L455:L460" si="167">J455*K455</f>
        <v>1194.21225</v>
      </c>
      <c r="M455" s="52">
        <f t="shared" ref="M455:M460" si="168">J455+L455</f>
        <v>9155.6272499999995</v>
      </c>
      <c r="N455" s="53">
        <v>0.2</v>
      </c>
      <c r="O455" s="52">
        <f t="shared" ref="O455:O460" si="169">$M455/(1-N455)</f>
        <v>11444.534062499999</v>
      </c>
      <c r="P455" s="1">
        <f t="shared" ref="P455:P460" si="170">MROUND(O455,10)</f>
        <v>11440</v>
      </c>
    </row>
    <row r="456" spans="2:16" x14ac:dyDescent="0.25">
      <c r="B456" s="54" t="s">
        <v>2694</v>
      </c>
      <c r="C456" s="1" t="s">
        <v>2695</v>
      </c>
      <c r="D456" s="1" t="s">
        <v>1878</v>
      </c>
      <c r="E456" s="1">
        <v>4330</v>
      </c>
      <c r="F456" s="1">
        <v>0.05</v>
      </c>
      <c r="G456" s="1">
        <v>0.13</v>
      </c>
      <c r="H456" s="1">
        <f t="shared" si="164"/>
        <v>216.5</v>
      </c>
      <c r="I456" s="52">
        <f t="shared" si="165"/>
        <v>591.04500000000007</v>
      </c>
      <c r="J456" s="52">
        <f t="shared" si="166"/>
        <v>5137.5450000000001</v>
      </c>
      <c r="K456" s="53">
        <v>0.15</v>
      </c>
      <c r="L456" s="52">
        <f t="shared" si="167"/>
        <v>770.63175000000001</v>
      </c>
      <c r="M456" s="52">
        <f t="shared" si="168"/>
        <v>5908.1767500000005</v>
      </c>
      <c r="N456" s="53">
        <v>0.2</v>
      </c>
      <c r="O456" s="52">
        <f t="shared" si="169"/>
        <v>7385.2209375000002</v>
      </c>
      <c r="P456" s="1">
        <f t="shared" si="170"/>
        <v>7390</v>
      </c>
    </row>
    <row r="457" spans="2:16" x14ac:dyDescent="0.25">
      <c r="B457" s="50" t="s">
        <v>2696</v>
      </c>
      <c r="C457" s="51" t="s">
        <v>2697</v>
      </c>
      <c r="D457" s="51" t="s">
        <v>1878</v>
      </c>
      <c r="E457" s="1">
        <v>4890</v>
      </c>
      <c r="F457" s="1">
        <v>0.05</v>
      </c>
      <c r="G457" s="1">
        <v>0.13</v>
      </c>
      <c r="H457" s="1">
        <f t="shared" si="164"/>
        <v>244.5</v>
      </c>
      <c r="I457" s="52">
        <f t="shared" si="165"/>
        <v>667.48500000000001</v>
      </c>
      <c r="J457" s="52">
        <f t="shared" si="166"/>
        <v>5801.9849999999997</v>
      </c>
      <c r="K457" s="53">
        <v>0.2</v>
      </c>
      <c r="L457" s="52">
        <f t="shared" si="167"/>
        <v>1160.3969999999999</v>
      </c>
      <c r="M457" s="52">
        <f t="shared" si="168"/>
        <v>6962.3819999999996</v>
      </c>
      <c r="N457" s="53">
        <v>0.2</v>
      </c>
      <c r="O457" s="52">
        <f t="shared" si="169"/>
        <v>8702.9774999999991</v>
      </c>
      <c r="P457" s="1">
        <f t="shared" si="170"/>
        <v>8700</v>
      </c>
    </row>
    <row r="458" spans="2:16" x14ac:dyDescent="0.25">
      <c r="B458" s="54" t="s">
        <v>2698</v>
      </c>
      <c r="C458" s="1" t="s">
        <v>2699</v>
      </c>
      <c r="D458" s="1" t="s">
        <v>1878</v>
      </c>
      <c r="E458" s="1">
        <v>4570</v>
      </c>
      <c r="F458" s="1">
        <v>0.05</v>
      </c>
      <c r="G458" s="1">
        <v>0.13</v>
      </c>
      <c r="H458" s="1">
        <f t="shared" si="164"/>
        <v>228.5</v>
      </c>
      <c r="I458" s="52">
        <f t="shared" si="165"/>
        <v>623.80500000000006</v>
      </c>
      <c r="J458" s="52">
        <f t="shared" si="166"/>
        <v>5422.3050000000003</v>
      </c>
      <c r="K458" s="53">
        <v>0.15</v>
      </c>
      <c r="L458" s="52">
        <f t="shared" si="167"/>
        <v>813.34575000000007</v>
      </c>
      <c r="M458" s="52">
        <f t="shared" si="168"/>
        <v>6235.6507500000007</v>
      </c>
      <c r="N458" s="53">
        <v>0.2</v>
      </c>
      <c r="O458" s="52">
        <f t="shared" si="169"/>
        <v>7794.5634375000009</v>
      </c>
      <c r="P458" s="1">
        <f t="shared" si="170"/>
        <v>7790</v>
      </c>
    </row>
    <row r="459" spans="2:16" x14ac:dyDescent="0.25">
      <c r="B459" s="50" t="s">
        <v>2700</v>
      </c>
      <c r="C459" s="51" t="s">
        <v>2701</v>
      </c>
      <c r="D459" s="51" t="s">
        <v>2702</v>
      </c>
      <c r="E459" s="1">
        <v>2290</v>
      </c>
      <c r="F459" s="1">
        <v>0.05</v>
      </c>
      <c r="G459" s="1">
        <v>0.13</v>
      </c>
      <c r="H459" s="1">
        <f t="shared" si="164"/>
        <v>114.5</v>
      </c>
      <c r="I459" s="52">
        <f t="shared" si="165"/>
        <v>312.58500000000004</v>
      </c>
      <c r="J459" s="52">
        <f t="shared" si="166"/>
        <v>2717.085</v>
      </c>
      <c r="K459" s="53">
        <v>0.15</v>
      </c>
      <c r="L459" s="52">
        <f t="shared" si="167"/>
        <v>407.56274999999999</v>
      </c>
      <c r="M459" s="52">
        <f t="shared" si="168"/>
        <v>3124.6477500000001</v>
      </c>
      <c r="N459" s="53">
        <v>0.2</v>
      </c>
      <c r="O459" s="52">
        <f t="shared" si="169"/>
        <v>3905.8096875000001</v>
      </c>
      <c r="P459" s="1">
        <f t="shared" si="170"/>
        <v>3910</v>
      </c>
    </row>
    <row r="460" spans="2:16" x14ac:dyDescent="0.25">
      <c r="B460" s="50" t="s">
        <v>2703</v>
      </c>
      <c r="C460" s="51" t="s">
        <v>2704</v>
      </c>
      <c r="D460" s="51" t="s">
        <v>2702</v>
      </c>
      <c r="E460" s="1">
        <v>1380</v>
      </c>
      <c r="F460" s="1">
        <v>0.05</v>
      </c>
      <c r="G460" s="1">
        <v>0.13</v>
      </c>
      <c r="H460" s="1">
        <f t="shared" si="164"/>
        <v>69</v>
      </c>
      <c r="I460" s="52">
        <f t="shared" si="165"/>
        <v>188.37</v>
      </c>
      <c r="J460" s="52">
        <f t="shared" si="166"/>
        <v>1637.37</v>
      </c>
      <c r="K460" s="53">
        <v>0.15</v>
      </c>
      <c r="L460" s="52">
        <f t="shared" si="167"/>
        <v>245.60549999999998</v>
      </c>
      <c r="M460" s="52">
        <f t="shared" si="168"/>
        <v>1882.9754999999998</v>
      </c>
      <c r="N460" s="53">
        <v>0.2</v>
      </c>
      <c r="O460" s="52">
        <f t="shared" si="169"/>
        <v>2353.7193749999997</v>
      </c>
      <c r="P460" s="1">
        <f t="shared" si="170"/>
        <v>2350</v>
      </c>
    </row>
    <row r="461" spans="2:16" x14ac:dyDescent="0.25">
      <c r="B461" s="126" t="s">
        <v>2705</v>
      </c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8"/>
    </row>
    <row r="462" spans="2:16" x14ac:dyDescent="0.25">
      <c r="B462" s="50" t="s">
        <v>2706</v>
      </c>
      <c r="C462" s="51" t="s">
        <v>2707</v>
      </c>
      <c r="D462" s="51" t="s">
        <v>2708</v>
      </c>
      <c r="E462" s="1">
        <v>1930</v>
      </c>
      <c r="F462" s="1">
        <v>0</v>
      </c>
      <c r="G462" s="1">
        <v>0.13</v>
      </c>
      <c r="H462" s="1">
        <f>F462*E462</f>
        <v>0</v>
      </c>
      <c r="I462" s="52">
        <f>G462*(E462+H462)</f>
        <v>250.9</v>
      </c>
      <c r="J462" s="52">
        <f>E462+H462+I462</f>
        <v>2180.9</v>
      </c>
      <c r="K462" s="53">
        <v>0.15</v>
      </c>
      <c r="L462" s="52">
        <f>J462*K462</f>
        <v>327.13499999999999</v>
      </c>
      <c r="M462" s="52">
        <f>J462+L462</f>
        <v>2508.0349999999999</v>
      </c>
      <c r="N462" s="53">
        <v>0.2</v>
      </c>
      <c r="O462" s="52">
        <f>$M462/(1-N462)</f>
        <v>3135.0437499999998</v>
      </c>
      <c r="P462" s="1">
        <f>MROUND(O462,10)</f>
        <v>3140</v>
      </c>
    </row>
    <row r="463" spans="2:16" x14ac:dyDescent="0.25">
      <c r="B463" s="125" t="s">
        <v>2709</v>
      </c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</row>
    <row r="464" spans="2:16" x14ac:dyDescent="0.25">
      <c r="B464" s="50" t="s">
        <v>2710</v>
      </c>
      <c r="C464" s="51" t="s">
        <v>2711</v>
      </c>
      <c r="D464" s="51" t="s">
        <v>2709</v>
      </c>
      <c r="E464" s="1">
        <v>2030</v>
      </c>
      <c r="F464" s="1">
        <v>0</v>
      </c>
      <c r="G464" s="1">
        <v>0.13</v>
      </c>
      <c r="H464" s="1">
        <f t="shared" ref="H464:H480" si="171">F464*E464</f>
        <v>0</v>
      </c>
      <c r="I464" s="52">
        <f t="shared" ref="I464:I480" si="172">G464*(E464+H464)</f>
        <v>263.90000000000003</v>
      </c>
      <c r="J464" s="52">
        <f t="shared" ref="J464:J480" si="173">E464+H464+I464</f>
        <v>2293.9</v>
      </c>
      <c r="K464" s="53">
        <v>0.15</v>
      </c>
      <c r="L464" s="52">
        <f t="shared" ref="L464:L471" si="174">J464*K464</f>
        <v>344.08499999999998</v>
      </c>
      <c r="M464" s="52">
        <f t="shared" ref="M464:M471" si="175">J464+L464</f>
        <v>2637.9850000000001</v>
      </c>
      <c r="N464" s="53">
        <v>0.2</v>
      </c>
      <c r="O464" s="52">
        <f t="shared" ref="O464:O471" si="176">$M464/(1-N464)</f>
        <v>3297.4812499999998</v>
      </c>
      <c r="P464" s="1">
        <f t="shared" ref="P464:P480" si="177">MROUND(O464,10)</f>
        <v>3300</v>
      </c>
    </row>
    <row r="465" spans="2:16" x14ac:dyDescent="0.25">
      <c r="B465" s="50" t="s">
        <v>2712</v>
      </c>
      <c r="C465" s="51" t="s">
        <v>2713</v>
      </c>
      <c r="D465" s="51" t="s">
        <v>2709</v>
      </c>
      <c r="E465" s="1">
        <v>3850</v>
      </c>
      <c r="F465" s="1">
        <v>0</v>
      </c>
      <c r="G465" s="1">
        <v>0.13</v>
      </c>
      <c r="H465" s="1">
        <f t="shared" si="171"/>
        <v>0</v>
      </c>
      <c r="I465" s="52">
        <f t="shared" si="172"/>
        <v>500.5</v>
      </c>
      <c r="J465" s="52">
        <f t="shared" si="173"/>
        <v>4350.5</v>
      </c>
      <c r="K465" s="53">
        <v>0.15</v>
      </c>
      <c r="L465" s="52">
        <f t="shared" si="174"/>
        <v>652.57499999999993</v>
      </c>
      <c r="M465" s="52">
        <f t="shared" si="175"/>
        <v>5003.0749999999998</v>
      </c>
      <c r="N465" s="53">
        <v>0.2</v>
      </c>
      <c r="O465" s="52">
        <f t="shared" si="176"/>
        <v>6253.8437499999991</v>
      </c>
      <c r="P465" s="1">
        <f t="shared" si="177"/>
        <v>6250</v>
      </c>
    </row>
    <row r="466" spans="2:16" x14ac:dyDescent="0.25">
      <c r="B466" s="50" t="s">
        <v>2714</v>
      </c>
      <c r="C466" s="51" t="s">
        <v>2715</v>
      </c>
      <c r="D466" s="51" t="s">
        <v>2709</v>
      </c>
      <c r="E466" s="1">
        <v>4050</v>
      </c>
      <c r="F466" s="1">
        <v>0</v>
      </c>
      <c r="G466" s="1">
        <v>0.13</v>
      </c>
      <c r="H466" s="1">
        <f t="shared" si="171"/>
        <v>0</v>
      </c>
      <c r="I466" s="52">
        <f t="shared" si="172"/>
        <v>526.5</v>
      </c>
      <c r="J466" s="52">
        <f t="shared" si="173"/>
        <v>4576.5</v>
      </c>
      <c r="K466" s="53">
        <v>0.15</v>
      </c>
      <c r="L466" s="52">
        <f t="shared" si="174"/>
        <v>686.47500000000002</v>
      </c>
      <c r="M466" s="52">
        <f t="shared" si="175"/>
        <v>5262.9750000000004</v>
      </c>
      <c r="N466" s="53">
        <v>0.2</v>
      </c>
      <c r="O466" s="52">
        <f t="shared" si="176"/>
        <v>6578.71875</v>
      </c>
      <c r="P466" s="1">
        <f t="shared" si="177"/>
        <v>6580</v>
      </c>
    </row>
    <row r="467" spans="2:16" x14ac:dyDescent="0.25">
      <c r="B467" s="50" t="s">
        <v>2518</v>
      </c>
      <c r="C467" s="51" t="s">
        <v>2716</v>
      </c>
      <c r="D467" s="51" t="s">
        <v>2709</v>
      </c>
      <c r="E467" s="1">
        <v>5060</v>
      </c>
      <c r="F467" s="1">
        <v>0</v>
      </c>
      <c r="G467" s="1">
        <v>0.13</v>
      </c>
      <c r="H467" s="1">
        <f t="shared" si="171"/>
        <v>0</v>
      </c>
      <c r="I467" s="52">
        <f t="shared" si="172"/>
        <v>657.80000000000007</v>
      </c>
      <c r="J467" s="52">
        <f t="shared" si="173"/>
        <v>5717.8</v>
      </c>
      <c r="K467" s="53">
        <v>0.15</v>
      </c>
      <c r="L467" s="52">
        <f t="shared" si="174"/>
        <v>857.67</v>
      </c>
      <c r="M467" s="52">
        <f t="shared" si="175"/>
        <v>6575.47</v>
      </c>
      <c r="N467" s="53">
        <v>0.2</v>
      </c>
      <c r="O467" s="52">
        <f t="shared" si="176"/>
        <v>8219.3374999999996</v>
      </c>
      <c r="P467" s="1">
        <f t="shared" si="177"/>
        <v>8220</v>
      </c>
    </row>
    <row r="468" spans="2:16" x14ac:dyDescent="0.25">
      <c r="B468" s="50" t="s">
        <v>2717</v>
      </c>
      <c r="C468" s="51" t="s">
        <v>2718</v>
      </c>
      <c r="D468" s="51" t="s">
        <v>2709</v>
      </c>
      <c r="E468" s="1">
        <v>5850</v>
      </c>
      <c r="F468" s="1">
        <v>0</v>
      </c>
      <c r="G468" s="1">
        <v>0.13</v>
      </c>
      <c r="H468" s="1">
        <f t="shared" si="171"/>
        <v>0</v>
      </c>
      <c r="I468" s="52">
        <f t="shared" si="172"/>
        <v>760.5</v>
      </c>
      <c r="J468" s="52">
        <f t="shared" si="173"/>
        <v>6610.5</v>
      </c>
      <c r="K468" s="53">
        <v>0.15</v>
      </c>
      <c r="L468" s="52">
        <f t="shared" si="174"/>
        <v>991.57499999999993</v>
      </c>
      <c r="M468" s="52">
        <f t="shared" si="175"/>
        <v>7602.0749999999998</v>
      </c>
      <c r="N468" s="53">
        <v>0.2</v>
      </c>
      <c r="O468" s="52">
        <f t="shared" si="176"/>
        <v>9502.59375</v>
      </c>
      <c r="P468" s="1">
        <f t="shared" si="177"/>
        <v>9500</v>
      </c>
    </row>
    <row r="469" spans="2:16" x14ac:dyDescent="0.25">
      <c r="B469" s="50" t="s">
        <v>2719</v>
      </c>
      <c r="C469" s="51" t="s">
        <v>2720</v>
      </c>
      <c r="D469" s="51" t="s">
        <v>2709</v>
      </c>
      <c r="E469" s="1">
        <v>7960</v>
      </c>
      <c r="F469" s="1">
        <v>0</v>
      </c>
      <c r="G469" s="1">
        <v>0.13</v>
      </c>
      <c r="H469" s="1">
        <f t="shared" si="171"/>
        <v>0</v>
      </c>
      <c r="I469" s="52">
        <f t="shared" si="172"/>
        <v>1034.8</v>
      </c>
      <c r="J469" s="52">
        <f t="shared" si="173"/>
        <v>8994.7999999999993</v>
      </c>
      <c r="K469" s="53">
        <v>0.15</v>
      </c>
      <c r="L469" s="52">
        <f t="shared" si="174"/>
        <v>1349.2199999999998</v>
      </c>
      <c r="M469" s="52">
        <f t="shared" si="175"/>
        <v>10344.019999999999</v>
      </c>
      <c r="N469" s="53">
        <v>0.2</v>
      </c>
      <c r="O469" s="52">
        <f t="shared" si="176"/>
        <v>12930.024999999998</v>
      </c>
      <c r="P469" s="1">
        <f t="shared" si="177"/>
        <v>12930</v>
      </c>
    </row>
    <row r="470" spans="2:16" x14ac:dyDescent="0.25">
      <c r="B470" s="50" t="s">
        <v>2721</v>
      </c>
      <c r="C470" s="51" t="s">
        <v>2722</v>
      </c>
      <c r="D470" s="51" t="s">
        <v>2709</v>
      </c>
      <c r="E470" s="1">
        <v>11800</v>
      </c>
      <c r="F470" s="1">
        <v>0</v>
      </c>
      <c r="G470" s="1">
        <v>0.13</v>
      </c>
      <c r="H470" s="1">
        <f t="shared" si="171"/>
        <v>0</v>
      </c>
      <c r="I470" s="52">
        <f t="shared" si="172"/>
        <v>1534</v>
      </c>
      <c r="J470" s="52">
        <f t="shared" si="173"/>
        <v>13334</v>
      </c>
      <c r="K470" s="53">
        <v>0.15</v>
      </c>
      <c r="L470" s="52">
        <f t="shared" si="174"/>
        <v>2000.1</v>
      </c>
      <c r="M470" s="52">
        <f t="shared" si="175"/>
        <v>15334.1</v>
      </c>
      <c r="N470" s="53">
        <v>0.2</v>
      </c>
      <c r="O470" s="52">
        <f t="shared" si="176"/>
        <v>19167.625</v>
      </c>
      <c r="P470" s="1">
        <f t="shared" si="177"/>
        <v>19170</v>
      </c>
    </row>
    <row r="471" spans="2:16" x14ac:dyDescent="0.25">
      <c r="B471" s="50" t="s">
        <v>2723</v>
      </c>
      <c r="C471" s="51" t="s">
        <v>2724</v>
      </c>
      <c r="D471" s="51" t="s">
        <v>2709</v>
      </c>
      <c r="E471" s="1">
        <v>3850</v>
      </c>
      <c r="F471" s="1">
        <v>0</v>
      </c>
      <c r="G471" s="1">
        <v>0.13</v>
      </c>
      <c r="H471" s="1">
        <f t="shared" si="171"/>
        <v>0</v>
      </c>
      <c r="I471" s="52">
        <f t="shared" si="172"/>
        <v>500.5</v>
      </c>
      <c r="J471" s="52">
        <f t="shared" si="173"/>
        <v>4350.5</v>
      </c>
      <c r="K471" s="53">
        <v>0.15</v>
      </c>
      <c r="L471" s="52">
        <f t="shared" si="174"/>
        <v>652.57499999999993</v>
      </c>
      <c r="M471" s="52">
        <f t="shared" si="175"/>
        <v>5003.0749999999998</v>
      </c>
      <c r="N471" s="53">
        <v>0.2</v>
      </c>
      <c r="O471" s="52">
        <f t="shared" si="176"/>
        <v>6253.8437499999991</v>
      </c>
      <c r="P471" s="1">
        <f t="shared" si="177"/>
        <v>6250</v>
      </c>
    </row>
    <row r="472" spans="2:16" x14ac:dyDescent="0.25">
      <c r="B472" s="125" t="s">
        <v>2725</v>
      </c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</row>
    <row r="473" spans="2:16" x14ac:dyDescent="0.25">
      <c r="B473" s="50" t="s">
        <v>2726</v>
      </c>
      <c r="C473" s="51" t="s">
        <v>2727</v>
      </c>
      <c r="D473" s="51" t="s">
        <v>2725</v>
      </c>
      <c r="E473" s="1">
        <v>2480</v>
      </c>
      <c r="F473" s="1">
        <v>0</v>
      </c>
      <c r="G473" s="1">
        <v>0.13</v>
      </c>
      <c r="H473" s="1">
        <f t="shared" si="171"/>
        <v>0</v>
      </c>
      <c r="I473" s="52">
        <f t="shared" si="172"/>
        <v>322.40000000000003</v>
      </c>
      <c r="J473" s="52">
        <f t="shared" si="173"/>
        <v>2802.4</v>
      </c>
      <c r="K473" s="53">
        <v>0.15</v>
      </c>
      <c r="L473" s="52">
        <f t="shared" ref="L473:L480" si="178">J473*K473</f>
        <v>420.36</v>
      </c>
      <c r="M473" s="52">
        <f t="shared" ref="M473:M480" si="179">J473+L473</f>
        <v>3222.76</v>
      </c>
      <c r="N473" s="53">
        <v>0.2</v>
      </c>
      <c r="O473" s="52">
        <f t="shared" ref="O473:O480" si="180">$M473/(1-N473)</f>
        <v>4028.4500000000003</v>
      </c>
      <c r="P473" s="1">
        <f t="shared" si="177"/>
        <v>4030</v>
      </c>
    </row>
    <row r="474" spans="2:16" x14ac:dyDescent="0.25">
      <c r="B474" s="50" t="s">
        <v>2712</v>
      </c>
      <c r="C474" s="51" t="s">
        <v>2728</v>
      </c>
      <c r="D474" s="51" t="s">
        <v>2725</v>
      </c>
      <c r="E474" s="1">
        <v>3850</v>
      </c>
      <c r="F474" s="1">
        <v>0</v>
      </c>
      <c r="G474" s="1">
        <v>0.13</v>
      </c>
      <c r="H474" s="1">
        <f t="shared" si="171"/>
        <v>0</v>
      </c>
      <c r="I474" s="52">
        <f t="shared" si="172"/>
        <v>500.5</v>
      </c>
      <c r="J474" s="52">
        <f t="shared" si="173"/>
        <v>4350.5</v>
      </c>
      <c r="K474" s="53">
        <v>0.15</v>
      </c>
      <c r="L474" s="52">
        <f t="shared" si="178"/>
        <v>652.57499999999993</v>
      </c>
      <c r="M474" s="52">
        <f t="shared" si="179"/>
        <v>5003.0749999999998</v>
      </c>
      <c r="N474" s="53">
        <v>0.2</v>
      </c>
      <c r="O474" s="52">
        <f t="shared" si="180"/>
        <v>6253.8437499999991</v>
      </c>
      <c r="P474" s="1">
        <f t="shared" si="177"/>
        <v>6250</v>
      </c>
    </row>
    <row r="475" spans="2:16" x14ac:dyDescent="0.25">
      <c r="B475" s="50" t="s">
        <v>2714</v>
      </c>
      <c r="C475" s="51" t="s">
        <v>2729</v>
      </c>
      <c r="D475" s="51" t="s">
        <v>2725</v>
      </c>
      <c r="E475" s="1">
        <v>3880</v>
      </c>
      <c r="F475" s="1">
        <v>0</v>
      </c>
      <c r="G475" s="1">
        <v>0.13</v>
      </c>
      <c r="H475" s="1">
        <f t="shared" si="171"/>
        <v>0</v>
      </c>
      <c r="I475" s="52">
        <f t="shared" si="172"/>
        <v>504.40000000000003</v>
      </c>
      <c r="J475" s="52">
        <f t="shared" si="173"/>
        <v>4384.3999999999996</v>
      </c>
      <c r="K475" s="53">
        <v>0.15</v>
      </c>
      <c r="L475" s="52">
        <f t="shared" si="178"/>
        <v>657.66</v>
      </c>
      <c r="M475" s="52">
        <f t="shared" si="179"/>
        <v>5042.0599999999995</v>
      </c>
      <c r="N475" s="53">
        <v>0.2</v>
      </c>
      <c r="O475" s="52">
        <f t="shared" si="180"/>
        <v>6302.5749999999989</v>
      </c>
      <c r="P475" s="1">
        <f t="shared" si="177"/>
        <v>6300</v>
      </c>
    </row>
    <row r="476" spans="2:16" x14ac:dyDescent="0.25">
      <c r="B476" s="50" t="s">
        <v>2730</v>
      </c>
      <c r="C476" s="51" t="s">
        <v>2731</v>
      </c>
      <c r="D476" s="51" t="s">
        <v>2725</v>
      </c>
      <c r="E476" s="1">
        <v>4940</v>
      </c>
      <c r="F476" s="1">
        <v>0</v>
      </c>
      <c r="G476" s="1">
        <v>0.13</v>
      </c>
      <c r="H476" s="1">
        <f t="shared" si="171"/>
        <v>0</v>
      </c>
      <c r="I476" s="52">
        <f t="shared" si="172"/>
        <v>642.20000000000005</v>
      </c>
      <c r="J476" s="52">
        <f t="shared" si="173"/>
        <v>5582.2</v>
      </c>
      <c r="K476" s="53">
        <v>0.15</v>
      </c>
      <c r="L476" s="52">
        <f t="shared" si="178"/>
        <v>837.32999999999993</v>
      </c>
      <c r="M476" s="52">
        <f t="shared" si="179"/>
        <v>6419.53</v>
      </c>
      <c r="N476" s="53">
        <v>0.2</v>
      </c>
      <c r="O476" s="52">
        <f t="shared" si="180"/>
        <v>8024.4124999999995</v>
      </c>
      <c r="P476" s="1">
        <f t="shared" si="177"/>
        <v>8020</v>
      </c>
    </row>
    <row r="477" spans="2:16" x14ac:dyDescent="0.25">
      <c r="B477" s="50" t="s">
        <v>2717</v>
      </c>
      <c r="C477" s="51" t="s">
        <v>2732</v>
      </c>
      <c r="D477" s="51" t="s">
        <v>2725</v>
      </c>
      <c r="E477" s="1">
        <v>6600</v>
      </c>
      <c r="F477" s="1">
        <v>0</v>
      </c>
      <c r="G477" s="1">
        <v>0.13</v>
      </c>
      <c r="H477" s="1">
        <f t="shared" si="171"/>
        <v>0</v>
      </c>
      <c r="I477" s="52">
        <f t="shared" si="172"/>
        <v>858</v>
      </c>
      <c r="J477" s="52">
        <f t="shared" si="173"/>
        <v>7458</v>
      </c>
      <c r="K477" s="53">
        <v>0.15</v>
      </c>
      <c r="L477" s="52">
        <f t="shared" si="178"/>
        <v>1118.7</v>
      </c>
      <c r="M477" s="52">
        <f t="shared" si="179"/>
        <v>8576.7000000000007</v>
      </c>
      <c r="N477" s="53">
        <v>0.2</v>
      </c>
      <c r="O477" s="52">
        <f t="shared" si="180"/>
        <v>10720.875</v>
      </c>
      <c r="P477" s="1">
        <f t="shared" si="177"/>
        <v>10720</v>
      </c>
    </row>
    <row r="478" spans="2:16" x14ac:dyDescent="0.25">
      <c r="B478" s="50" t="s">
        <v>2719</v>
      </c>
      <c r="C478" s="51" t="s">
        <v>2733</v>
      </c>
      <c r="D478" s="51" t="s">
        <v>2725</v>
      </c>
      <c r="E478" s="1">
        <v>9470</v>
      </c>
      <c r="F478" s="1">
        <v>0</v>
      </c>
      <c r="G478" s="1">
        <v>0.13</v>
      </c>
      <c r="H478" s="1">
        <f t="shared" si="171"/>
        <v>0</v>
      </c>
      <c r="I478" s="52">
        <f t="shared" si="172"/>
        <v>1231.1000000000001</v>
      </c>
      <c r="J478" s="52">
        <f t="shared" si="173"/>
        <v>10701.1</v>
      </c>
      <c r="K478" s="53">
        <v>0.15</v>
      </c>
      <c r="L478" s="52">
        <f t="shared" si="178"/>
        <v>1605.165</v>
      </c>
      <c r="M478" s="52">
        <f t="shared" si="179"/>
        <v>12306.264999999999</v>
      </c>
      <c r="N478" s="53">
        <v>0.2</v>
      </c>
      <c r="O478" s="52">
        <f t="shared" si="180"/>
        <v>15382.831249999999</v>
      </c>
      <c r="P478" s="1">
        <f t="shared" si="177"/>
        <v>15380</v>
      </c>
    </row>
    <row r="479" spans="2:16" x14ac:dyDescent="0.25">
      <c r="B479" s="50" t="s">
        <v>2723</v>
      </c>
      <c r="C479" s="51" t="s">
        <v>2734</v>
      </c>
      <c r="D479" s="51" t="s">
        <v>2725</v>
      </c>
      <c r="E479" s="1">
        <v>3850</v>
      </c>
      <c r="F479" s="1">
        <v>0</v>
      </c>
      <c r="G479" s="1">
        <v>0.13</v>
      </c>
      <c r="H479" s="1">
        <f t="shared" si="171"/>
        <v>0</v>
      </c>
      <c r="I479" s="52">
        <f t="shared" si="172"/>
        <v>500.5</v>
      </c>
      <c r="J479" s="52">
        <f t="shared" si="173"/>
        <v>4350.5</v>
      </c>
      <c r="K479" s="53">
        <v>0.15</v>
      </c>
      <c r="L479" s="52">
        <f t="shared" si="178"/>
        <v>652.57499999999993</v>
      </c>
      <c r="M479" s="52">
        <f t="shared" si="179"/>
        <v>5003.0749999999998</v>
      </c>
      <c r="N479" s="53">
        <v>0.2</v>
      </c>
      <c r="O479" s="52">
        <f t="shared" si="180"/>
        <v>6253.8437499999991</v>
      </c>
      <c r="P479" s="1">
        <f t="shared" si="177"/>
        <v>6250</v>
      </c>
    </row>
    <row r="480" spans="2:16" x14ac:dyDescent="0.25">
      <c r="B480" s="50" t="s">
        <v>2721</v>
      </c>
      <c r="C480" s="51" t="s">
        <v>2735</v>
      </c>
      <c r="D480" s="51" t="s">
        <v>2725</v>
      </c>
      <c r="E480" s="1">
        <v>15110</v>
      </c>
      <c r="F480" s="1">
        <v>0</v>
      </c>
      <c r="G480" s="1">
        <v>0.13</v>
      </c>
      <c r="H480" s="1">
        <f t="shared" si="171"/>
        <v>0</v>
      </c>
      <c r="I480" s="52">
        <f t="shared" si="172"/>
        <v>1964.3</v>
      </c>
      <c r="J480" s="52">
        <f t="shared" si="173"/>
        <v>17074.3</v>
      </c>
      <c r="K480" s="53">
        <v>0.15</v>
      </c>
      <c r="L480" s="52">
        <f t="shared" si="178"/>
        <v>2561.145</v>
      </c>
      <c r="M480" s="52">
        <f t="shared" si="179"/>
        <v>19635.445</v>
      </c>
      <c r="N480" s="53">
        <v>0.2</v>
      </c>
      <c r="O480" s="52">
        <f t="shared" si="180"/>
        <v>24544.306249999998</v>
      </c>
      <c r="P480" s="1">
        <f t="shared" si="177"/>
        <v>24540</v>
      </c>
    </row>
    <row r="481" spans="2:16" x14ac:dyDescent="0.25">
      <c r="B481" s="125" t="s">
        <v>2736</v>
      </c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</row>
    <row r="482" spans="2:16" x14ac:dyDescent="0.25">
      <c r="B482" s="50" t="s">
        <v>2710</v>
      </c>
      <c r="C482" s="51" t="s">
        <v>2737</v>
      </c>
      <c r="D482" s="51" t="s">
        <v>2736</v>
      </c>
      <c r="E482" s="1">
        <v>1600</v>
      </c>
      <c r="F482" s="1">
        <v>0</v>
      </c>
      <c r="G482" s="1">
        <v>0.13</v>
      </c>
      <c r="H482" s="1">
        <f t="shared" ref="H482:H489" si="181">F482*E482</f>
        <v>0</v>
      </c>
      <c r="I482" s="52">
        <f t="shared" ref="I482:I489" si="182">G482*(E482+H482)</f>
        <v>208</v>
      </c>
      <c r="J482" s="52">
        <f t="shared" ref="J482:J489" si="183">E482+H482+I482</f>
        <v>1808</v>
      </c>
      <c r="K482" s="53">
        <v>0.15</v>
      </c>
      <c r="L482" s="52">
        <f t="shared" ref="L482:L489" si="184">J482*K482</f>
        <v>271.2</v>
      </c>
      <c r="M482" s="52">
        <f t="shared" ref="M482:M489" si="185">J482+L482</f>
        <v>2079.1999999999998</v>
      </c>
      <c r="N482" s="53">
        <v>0.2</v>
      </c>
      <c r="O482" s="52">
        <f t="shared" ref="O482:O489" si="186">$M482/(1-N482)</f>
        <v>2598.9999999999995</v>
      </c>
      <c r="P482" s="1">
        <f t="shared" ref="P482:P489" si="187">MROUND(O482,10)</f>
        <v>2600</v>
      </c>
    </row>
    <row r="483" spans="2:16" x14ac:dyDescent="0.25">
      <c r="B483" s="50" t="s">
        <v>2712</v>
      </c>
      <c r="C483" s="51" t="s">
        <v>2738</v>
      </c>
      <c r="D483" s="51" t="s">
        <v>2736</v>
      </c>
      <c r="E483" s="1">
        <v>2720</v>
      </c>
      <c r="F483" s="1">
        <v>0</v>
      </c>
      <c r="G483" s="1">
        <v>0.13</v>
      </c>
      <c r="H483" s="1">
        <f t="shared" si="181"/>
        <v>0</v>
      </c>
      <c r="I483" s="52">
        <f t="shared" si="182"/>
        <v>353.6</v>
      </c>
      <c r="J483" s="52">
        <f t="shared" si="183"/>
        <v>3073.6</v>
      </c>
      <c r="K483" s="53">
        <v>0.15</v>
      </c>
      <c r="L483" s="52">
        <f t="shared" si="184"/>
        <v>461.03999999999996</v>
      </c>
      <c r="M483" s="52">
        <f t="shared" si="185"/>
        <v>3534.64</v>
      </c>
      <c r="N483" s="53">
        <v>0.2</v>
      </c>
      <c r="O483" s="52">
        <f t="shared" si="186"/>
        <v>4418.2999999999993</v>
      </c>
      <c r="P483" s="1">
        <f t="shared" si="187"/>
        <v>4420</v>
      </c>
    </row>
    <row r="484" spans="2:16" x14ac:dyDescent="0.25">
      <c r="B484" s="50" t="s">
        <v>2714</v>
      </c>
      <c r="C484" s="51" t="s">
        <v>2739</v>
      </c>
      <c r="D484" s="51" t="s">
        <v>2736</v>
      </c>
      <c r="E484" s="1">
        <v>3050</v>
      </c>
      <c r="F484" s="1">
        <v>0</v>
      </c>
      <c r="G484" s="1">
        <v>0.13</v>
      </c>
      <c r="H484" s="1">
        <f t="shared" si="181"/>
        <v>0</v>
      </c>
      <c r="I484" s="52">
        <f t="shared" si="182"/>
        <v>396.5</v>
      </c>
      <c r="J484" s="52">
        <f t="shared" si="183"/>
        <v>3446.5</v>
      </c>
      <c r="K484" s="53">
        <v>0.15</v>
      </c>
      <c r="L484" s="52">
        <f t="shared" si="184"/>
        <v>516.97500000000002</v>
      </c>
      <c r="M484" s="52">
        <f t="shared" si="185"/>
        <v>3963.4749999999999</v>
      </c>
      <c r="N484" s="53">
        <v>0.2</v>
      </c>
      <c r="O484" s="52">
        <f t="shared" si="186"/>
        <v>4954.34375</v>
      </c>
      <c r="P484" s="1">
        <f t="shared" si="187"/>
        <v>4950</v>
      </c>
    </row>
    <row r="485" spans="2:16" x14ac:dyDescent="0.25">
      <c r="B485" s="50" t="s">
        <v>2518</v>
      </c>
      <c r="C485" s="51" t="s">
        <v>2740</v>
      </c>
      <c r="D485" s="51" t="s">
        <v>2736</v>
      </c>
      <c r="E485" s="1">
        <v>3380</v>
      </c>
      <c r="F485" s="1">
        <v>0</v>
      </c>
      <c r="G485" s="1">
        <v>0.13</v>
      </c>
      <c r="H485" s="1">
        <f t="shared" si="181"/>
        <v>0</v>
      </c>
      <c r="I485" s="52">
        <f t="shared" si="182"/>
        <v>439.40000000000003</v>
      </c>
      <c r="J485" s="52">
        <f t="shared" si="183"/>
        <v>3819.4</v>
      </c>
      <c r="K485" s="53">
        <v>0.15</v>
      </c>
      <c r="L485" s="52">
        <f t="shared" si="184"/>
        <v>572.91</v>
      </c>
      <c r="M485" s="52">
        <f t="shared" si="185"/>
        <v>4392.3100000000004</v>
      </c>
      <c r="N485" s="53">
        <v>0.2</v>
      </c>
      <c r="O485" s="52">
        <f t="shared" si="186"/>
        <v>5490.3874999999998</v>
      </c>
      <c r="P485" s="1">
        <f t="shared" si="187"/>
        <v>5490</v>
      </c>
    </row>
    <row r="486" spans="2:16" x14ac:dyDescent="0.25">
      <c r="B486" s="50" t="s">
        <v>2717</v>
      </c>
      <c r="C486" s="51" t="s">
        <v>2741</v>
      </c>
      <c r="D486" s="51" t="s">
        <v>2736</v>
      </c>
      <c r="E486" s="1">
        <v>4120</v>
      </c>
      <c r="F486" s="1">
        <v>0</v>
      </c>
      <c r="G486" s="1">
        <v>0.13</v>
      </c>
      <c r="H486" s="1">
        <f t="shared" si="181"/>
        <v>0</v>
      </c>
      <c r="I486" s="52">
        <f t="shared" si="182"/>
        <v>535.6</v>
      </c>
      <c r="J486" s="52">
        <f t="shared" si="183"/>
        <v>4655.6000000000004</v>
      </c>
      <c r="K486" s="53">
        <v>0.15</v>
      </c>
      <c r="L486" s="52">
        <f t="shared" si="184"/>
        <v>698.34</v>
      </c>
      <c r="M486" s="52">
        <f t="shared" si="185"/>
        <v>5353.9400000000005</v>
      </c>
      <c r="N486" s="53">
        <v>0.2</v>
      </c>
      <c r="O486" s="52">
        <f t="shared" si="186"/>
        <v>6692.4250000000002</v>
      </c>
      <c r="P486" s="1">
        <f t="shared" si="187"/>
        <v>6690</v>
      </c>
    </row>
    <row r="487" spans="2:16" x14ac:dyDescent="0.25">
      <c r="B487" s="50" t="s">
        <v>2719</v>
      </c>
      <c r="C487" s="51" t="s">
        <v>2742</v>
      </c>
      <c r="D487" s="51" t="s">
        <v>2736</v>
      </c>
      <c r="E487" s="1">
        <v>6300</v>
      </c>
      <c r="F487" s="1">
        <v>0</v>
      </c>
      <c r="G487" s="1">
        <v>0.13</v>
      </c>
      <c r="H487" s="1">
        <f t="shared" si="181"/>
        <v>0</v>
      </c>
      <c r="I487" s="52">
        <f t="shared" si="182"/>
        <v>819</v>
      </c>
      <c r="J487" s="52">
        <f t="shared" si="183"/>
        <v>7119</v>
      </c>
      <c r="K487" s="53">
        <v>0.15</v>
      </c>
      <c r="L487" s="52">
        <f t="shared" si="184"/>
        <v>1067.8499999999999</v>
      </c>
      <c r="M487" s="52">
        <f t="shared" si="185"/>
        <v>8186.85</v>
      </c>
      <c r="N487" s="53">
        <v>0.2</v>
      </c>
      <c r="O487" s="52">
        <f t="shared" si="186"/>
        <v>10233.5625</v>
      </c>
      <c r="P487" s="1">
        <f t="shared" si="187"/>
        <v>10230</v>
      </c>
    </row>
    <row r="488" spans="2:16" x14ac:dyDescent="0.25">
      <c r="B488" s="50" t="s">
        <v>2723</v>
      </c>
      <c r="C488" s="51" t="s">
        <v>2743</v>
      </c>
      <c r="D488" s="51" t="s">
        <v>2736</v>
      </c>
      <c r="E488" s="1">
        <v>3320</v>
      </c>
      <c r="F488" s="1">
        <v>0</v>
      </c>
      <c r="G488" s="1">
        <v>0.13</v>
      </c>
      <c r="H488" s="1">
        <f t="shared" si="181"/>
        <v>0</v>
      </c>
      <c r="I488" s="52">
        <f t="shared" si="182"/>
        <v>431.6</v>
      </c>
      <c r="J488" s="52">
        <f t="shared" si="183"/>
        <v>3751.6</v>
      </c>
      <c r="K488" s="53">
        <v>0.15</v>
      </c>
      <c r="L488" s="52">
        <f t="shared" si="184"/>
        <v>562.74</v>
      </c>
      <c r="M488" s="52">
        <f t="shared" si="185"/>
        <v>4314.34</v>
      </c>
      <c r="N488" s="53">
        <v>0.2</v>
      </c>
      <c r="O488" s="52">
        <f t="shared" si="186"/>
        <v>5392.9250000000002</v>
      </c>
      <c r="P488" s="1">
        <f t="shared" si="187"/>
        <v>5390</v>
      </c>
    </row>
    <row r="489" spans="2:16" x14ac:dyDescent="0.25">
      <c r="B489" s="50" t="s">
        <v>2721</v>
      </c>
      <c r="C489" s="51" t="s">
        <v>2744</v>
      </c>
      <c r="D489" s="51" t="s">
        <v>2736</v>
      </c>
      <c r="E489" s="1">
        <v>9600</v>
      </c>
      <c r="F489" s="1">
        <v>0</v>
      </c>
      <c r="G489" s="1">
        <v>0.13</v>
      </c>
      <c r="H489" s="1">
        <f t="shared" si="181"/>
        <v>0</v>
      </c>
      <c r="I489" s="52">
        <f t="shared" si="182"/>
        <v>1248</v>
      </c>
      <c r="J489" s="52">
        <f t="shared" si="183"/>
        <v>10848</v>
      </c>
      <c r="K489" s="53">
        <v>0.15</v>
      </c>
      <c r="L489" s="52">
        <f t="shared" si="184"/>
        <v>1627.2</v>
      </c>
      <c r="M489" s="52">
        <f t="shared" si="185"/>
        <v>12475.2</v>
      </c>
      <c r="N489" s="53">
        <v>0.2</v>
      </c>
      <c r="O489" s="52">
        <f t="shared" si="186"/>
        <v>15594</v>
      </c>
      <c r="P489" s="1">
        <f t="shared" si="187"/>
        <v>15590</v>
      </c>
    </row>
    <row r="490" spans="2:16" x14ac:dyDescent="0.25">
      <c r="B490" s="125" t="s">
        <v>2596</v>
      </c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</row>
    <row r="491" spans="2:16" x14ac:dyDescent="0.25">
      <c r="B491" s="50" t="s">
        <v>2745</v>
      </c>
      <c r="C491" s="51" t="s">
        <v>2746</v>
      </c>
      <c r="D491" s="51" t="s">
        <v>2596</v>
      </c>
      <c r="E491" s="1">
        <v>2540</v>
      </c>
      <c r="F491" s="1">
        <v>0</v>
      </c>
      <c r="G491" s="1">
        <v>0.13</v>
      </c>
      <c r="H491" s="1">
        <f t="shared" ref="H491:H500" si="188">F491*E491</f>
        <v>0</v>
      </c>
      <c r="I491" s="52">
        <f t="shared" ref="I491:I500" si="189">G491*(E491+H491)</f>
        <v>330.2</v>
      </c>
      <c r="J491" s="52">
        <f t="shared" ref="J491:J500" si="190">E491+H491+I491</f>
        <v>2870.2</v>
      </c>
      <c r="K491" s="53">
        <v>0.15</v>
      </c>
      <c r="L491" s="52">
        <f t="shared" ref="L491:L500" si="191">J491*K491</f>
        <v>430.53</v>
      </c>
      <c r="M491" s="52">
        <f t="shared" ref="M491:M500" si="192">J491+L491</f>
        <v>3300.7299999999996</v>
      </c>
      <c r="N491" s="53">
        <v>0.2</v>
      </c>
      <c r="O491" s="52">
        <f t="shared" ref="O491:O500" si="193">$M491/(1-N491)</f>
        <v>4125.9124999999995</v>
      </c>
      <c r="P491" s="1">
        <f t="shared" ref="P491:P500" si="194">MROUND(O491,10)</f>
        <v>4130</v>
      </c>
    </row>
    <row r="492" spans="2:16" x14ac:dyDescent="0.25">
      <c r="B492" s="50" t="s">
        <v>2723</v>
      </c>
      <c r="C492" s="51" t="s">
        <v>2747</v>
      </c>
      <c r="D492" s="51" t="s">
        <v>2596</v>
      </c>
      <c r="E492" s="1">
        <v>1480</v>
      </c>
      <c r="F492" s="1">
        <v>0</v>
      </c>
      <c r="G492" s="1">
        <v>0.13</v>
      </c>
      <c r="H492" s="1">
        <f t="shared" si="188"/>
        <v>0</v>
      </c>
      <c r="I492" s="52">
        <f t="shared" si="189"/>
        <v>192.4</v>
      </c>
      <c r="J492" s="52">
        <f t="shared" si="190"/>
        <v>1672.4</v>
      </c>
      <c r="K492" s="53">
        <v>0.15</v>
      </c>
      <c r="L492" s="52">
        <f t="shared" si="191"/>
        <v>250.86</v>
      </c>
      <c r="M492" s="52">
        <f t="shared" si="192"/>
        <v>1923.2600000000002</v>
      </c>
      <c r="N492" s="53">
        <v>0.2</v>
      </c>
      <c r="O492" s="52">
        <f t="shared" si="193"/>
        <v>2404.0750000000003</v>
      </c>
      <c r="P492" s="1">
        <f t="shared" si="194"/>
        <v>2400</v>
      </c>
    </row>
    <row r="493" spans="2:16" x14ac:dyDescent="0.25">
      <c r="B493" s="50" t="s">
        <v>2712</v>
      </c>
      <c r="C493" s="51" t="s">
        <v>2748</v>
      </c>
      <c r="D493" s="51" t="s">
        <v>2596</v>
      </c>
      <c r="E493" s="1">
        <v>1300</v>
      </c>
      <c r="F493" s="1">
        <v>0</v>
      </c>
      <c r="G493" s="1">
        <v>0.13</v>
      </c>
      <c r="H493" s="1">
        <f t="shared" si="188"/>
        <v>0</v>
      </c>
      <c r="I493" s="52">
        <f t="shared" si="189"/>
        <v>169</v>
      </c>
      <c r="J493" s="52">
        <f t="shared" si="190"/>
        <v>1469</v>
      </c>
      <c r="K493" s="53">
        <v>0.15</v>
      </c>
      <c r="L493" s="52">
        <f t="shared" si="191"/>
        <v>220.35</v>
      </c>
      <c r="M493" s="52">
        <f t="shared" si="192"/>
        <v>1689.35</v>
      </c>
      <c r="N493" s="53">
        <v>0.2</v>
      </c>
      <c r="O493" s="52">
        <f t="shared" si="193"/>
        <v>2111.6874999999995</v>
      </c>
      <c r="P493" s="1">
        <f t="shared" si="194"/>
        <v>2110</v>
      </c>
    </row>
    <row r="494" spans="2:16" x14ac:dyDescent="0.25">
      <c r="B494" s="50" t="s">
        <v>2749</v>
      </c>
      <c r="C494" s="51" t="s">
        <v>2750</v>
      </c>
      <c r="D494" s="51" t="s">
        <v>2596</v>
      </c>
      <c r="E494" s="1">
        <v>1260</v>
      </c>
      <c r="F494" s="1">
        <v>0</v>
      </c>
      <c r="G494" s="1">
        <v>0.13</v>
      </c>
      <c r="H494" s="1">
        <f t="shared" si="188"/>
        <v>0</v>
      </c>
      <c r="I494" s="52">
        <f t="shared" si="189"/>
        <v>163.80000000000001</v>
      </c>
      <c r="J494" s="52">
        <f t="shared" si="190"/>
        <v>1423.8</v>
      </c>
      <c r="K494" s="53">
        <v>0.15</v>
      </c>
      <c r="L494" s="52">
        <f t="shared" si="191"/>
        <v>213.57</v>
      </c>
      <c r="M494" s="52">
        <f t="shared" si="192"/>
        <v>1637.37</v>
      </c>
      <c r="N494" s="53">
        <v>0.2</v>
      </c>
      <c r="O494" s="52">
        <f t="shared" si="193"/>
        <v>2046.7124999999999</v>
      </c>
      <c r="P494" s="1">
        <f t="shared" si="194"/>
        <v>2050</v>
      </c>
    </row>
    <row r="495" spans="2:16" x14ac:dyDescent="0.25">
      <c r="B495" s="50" t="s">
        <v>2751</v>
      </c>
      <c r="C495" s="51" t="s">
        <v>2752</v>
      </c>
      <c r="D495" s="51" t="s">
        <v>2596</v>
      </c>
      <c r="E495" s="1">
        <v>830</v>
      </c>
      <c r="F495" s="1">
        <v>0</v>
      </c>
      <c r="G495" s="1">
        <v>0.13</v>
      </c>
      <c r="H495" s="1">
        <f t="shared" si="188"/>
        <v>0</v>
      </c>
      <c r="I495" s="52">
        <f t="shared" si="189"/>
        <v>107.9</v>
      </c>
      <c r="J495" s="52">
        <f t="shared" si="190"/>
        <v>937.9</v>
      </c>
      <c r="K495" s="53">
        <v>0.15</v>
      </c>
      <c r="L495" s="52">
        <f t="shared" si="191"/>
        <v>140.685</v>
      </c>
      <c r="M495" s="52">
        <f t="shared" si="192"/>
        <v>1078.585</v>
      </c>
      <c r="N495" s="53">
        <v>0.2</v>
      </c>
      <c r="O495" s="52">
        <f t="shared" si="193"/>
        <v>1348.23125</v>
      </c>
      <c r="P495" s="1">
        <f t="shared" si="194"/>
        <v>1350</v>
      </c>
    </row>
    <row r="496" spans="2:16" x14ac:dyDescent="0.25">
      <c r="B496" s="50" t="s">
        <v>2518</v>
      </c>
      <c r="C496" s="51" t="s">
        <v>2753</v>
      </c>
      <c r="D496" s="51" t="s">
        <v>2596</v>
      </c>
      <c r="E496" s="1">
        <v>1950</v>
      </c>
      <c r="F496" s="1">
        <v>0</v>
      </c>
      <c r="G496" s="1">
        <v>0.13</v>
      </c>
      <c r="H496" s="1">
        <f t="shared" si="188"/>
        <v>0</v>
      </c>
      <c r="I496" s="52">
        <f t="shared" si="189"/>
        <v>253.5</v>
      </c>
      <c r="J496" s="52">
        <f t="shared" si="190"/>
        <v>2203.5</v>
      </c>
      <c r="K496" s="53">
        <v>0.15</v>
      </c>
      <c r="L496" s="52">
        <f t="shared" si="191"/>
        <v>330.52499999999998</v>
      </c>
      <c r="M496" s="52">
        <f t="shared" si="192"/>
        <v>2534.0250000000001</v>
      </c>
      <c r="N496" s="53">
        <v>0.2</v>
      </c>
      <c r="O496" s="52">
        <f t="shared" si="193"/>
        <v>3167.53125</v>
      </c>
      <c r="P496" s="1">
        <f t="shared" si="194"/>
        <v>3170</v>
      </c>
    </row>
    <row r="497" spans="2:16" x14ac:dyDescent="0.25">
      <c r="B497" s="50" t="s">
        <v>2754</v>
      </c>
      <c r="C497" s="51" t="s">
        <v>2755</v>
      </c>
      <c r="D497" s="51" t="s">
        <v>2596</v>
      </c>
      <c r="E497" s="1">
        <v>2940</v>
      </c>
      <c r="F497" s="1">
        <v>0</v>
      </c>
      <c r="G497" s="1">
        <v>0.13</v>
      </c>
      <c r="H497" s="1">
        <f t="shared" si="188"/>
        <v>0</v>
      </c>
      <c r="I497" s="52">
        <f t="shared" si="189"/>
        <v>382.2</v>
      </c>
      <c r="J497" s="52">
        <f t="shared" si="190"/>
        <v>3322.2</v>
      </c>
      <c r="K497" s="53">
        <v>0.15</v>
      </c>
      <c r="L497" s="52">
        <f t="shared" si="191"/>
        <v>498.32999999999993</v>
      </c>
      <c r="M497" s="52">
        <f t="shared" si="192"/>
        <v>3820.5299999999997</v>
      </c>
      <c r="N497" s="53">
        <v>0.2</v>
      </c>
      <c r="O497" s="52">
        <f t="shared" si="193"/>
        <v>4775.6624999999995</v>
      </c>
      <c r="P497" s="1">
        <f t="shared" si="194"/>
        <v>4780</v>
      </c>
    </row>
    <row r="498" spans="2:16" x14ac:dyDescent="0.25">
      <c r="B498" s="50" t="s">
        <v>2756</v>
      </c>
      <c r="C498" s="51" t="s">
        <v>2757</v>
      </c>
      <c r="D498" s="51" t="s">
        <v>2596</v>
      </c>
      <c r="E498" s="1">
        <v>5390</v>
      </c>
      <c r="F498" s="1">
        <v>0</v>
      </c>
      <c r="G498" s="1">
        <v>0.13</v>
      </c>
      <c r="H498" s="1">
        <f t="shared" si="188"/>
        <v>0</v>
      </c>
      <c r="I498" s="52">
        <f t="shared" si="189"/>
        <v>700.7</v>
      </c>
      <c r="J498" s="52">
        <f t="shared" si="190"/>
        <v>6090.7</v>
      </c>
      <c r="K498" s="53">
        <v>0.15</v>
      </c>
      <c r="L498" s="52">
        <f t="shared" si="191"/>
        <v>913.6049999999999</v>
      </c>
      <c r="M498" s="52">
        <f t="shared" si="192"/>
        <v>7004.3049999999994</v>
      </c>
      <c r="N498" s="53">
        <v>0.2</v>
      </c>
      <c r="O498" s="52">
        <f t="shared" si="193"/>
        <v>8755.3812499999985</v>
      </c>
      <c r="P498" s="1">
        <f t="shared" si="194"/>
        <v>8760</v>
      </c>
    </row>
    <row r="499" spans="2:16" x14ac:dyDescent="0.25">
      <c r="B499" s="50" t="s">
        <v>2758</v>
      </c>
      <c r="C499" s="51" t="s">
        <v>2759</v>
      </c>
      <c r="D499" s="51" t="s">
        <v>2596</v>
      </c>
      <c r="E499" s="1">
        <v>2790</v>
      </c>
      <c r="F499" s="1">
        <v>0</v>
      </c>
      <c r="G499" s="1">
        <v>0.13</v>
      </c>
      <c r="H499" s="1">
        <f t="shared" si="188"/>
        <v>0</v>
      </c>
      <c r="I499" s="52">
        <f t="shared" si="189"/>
        <v>362.7</v>
      </c>
      <c r="J499" s="52">
        <f t="shared" si="190"/>
        <v>3152.7</v>
      </c>
      <c r="K499" s="53">
        <v>0.15</v>
      </c>
      <c r="L499" s="52">
        <f t="shared" si="191"/>
        <v>472.90499999999997</v>
      </c>
      <c r="M499" s="52">
        <f t="shared" si="192"/>
        <v>3625.6049999999996</v>
      </c>
      <c r="N499" s="53">
        <v>0.2</v>
      </c>
      <c r="O499" s="52">
        <f t="shared" si="193"/>
        <v>4532.0062499999995</v>
      </c>
      <c r="P499" s="1">
        <f t="shared" si="194"/>
        <v>4530</v>
      </c>
    </row>
    <row r="500" spans="2:16" x14ac:dyDescent="0.25">
      <c r="B500" s="50" t="s">
        <v>2760</v>
      </c>
      <c r="C500" s="51" t="s">
        <v>2761</v>
      </c>
      <c r="D500" s="51" t="s">
        <v>2596</v>
      </c>
      <c r="E500" s="1">
        <v>2410</v>
      </c>
      <c r="F500" s="1">
        <v>0</v>
      </c>
      <c r="G500" s="1">
        <v>0.13</v>
      </c>
      <c r="H500" s="1">
        <f t="shared" si="188"/>
        <v>0</v>
      </c>
      <c r="I500" s="52">
        <f t="shared" si="189"/>
        <v>313.3</v>
      </c>
      <c r="J500" s="52">
        <f t="shared" si="190"/>
        <v>2723.3</v>
      </c>
      <c r="K500" s="53">
        <v>0.15</v>
      </c>
      <c r="L500" s="52">
        <f t="shared" si="191"/>
        <v>408.495</v>
      </c>
      <c r="M500" s="52">
        <f t="shared" si="192"/>
        <v>3131.7950000000001</v>
      </c>
      <c r="N500" s="53">
        <v>0.2</v>
      </c>
      <c r="O500" s="52">
        <f t="shared" si="193"/>
        <v>3914.7437500000001</v>
      </c>
      <c r="P500" s="1">
        <f t="shared" si="194"/>
        <v>3910</v>
      </c>
    </row>
    <row r="501" spans="2:16" x14ac:dyDescent="0.25">
      <c r="B501" s="125" t="s">
        <v>2762</v>
      </c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</row>
    <row r="502" spans="2:16" x14ac:dyDescent="0.25">
      <c r="B502" s="50" t="s">
        <v>2745</v>
      </c>
      <c r="C502" s="51" t="s">
        <v>2763</v>
      </c>
      <c r="D502" s="51" t="s">
        <v>2762</v>
      </c>
      <c r="E502" s="1">
        <v>2990</v>
      </c>
      <c r="F502" s="1">
        <v>0</v>
      </c>
      <c r="G502" s="1">
        <v>0.13</v>
      </c>
      <c r="H502" s="1">
        <f t="shared" ref="H502:H510" si="195">F502*E502</f>
        <v>0</v>
      </c>
      <c r="I502" s="52">
        <f t="shared" ref="I502:I510" si="196">G502*(E502+H502)</f>
        <v>388.7</v>
      </c>
      <c r="J502" s="52">
        <f t="shared" ref="J502:J510" si="197">E502+H502+I502</f>
        <v>3378.7</v>
      </c>
      <c r="K502" s="53">
        <v>0.15</v>
      </c>
      <c r="L502" s="52">
        <f t="shared" ref="L502:L510" si="198">J502*K502</f>
        <v>506.80499999999995</v>
      </c>
      <c r="M502" s="52">
        <f t="shared" ref="M502:M510" si="199">J502+L502</f>
        <v>3885.5049999999997</v>
      </c>
      <c r="N502" s="53">
        <v>0.2</v>
      </c>
      <c r="O502" s="52">
        <f t="shared" ref="O502:O510" si="200">$M502/(1-N502)</f>
        <v>4856.8812499999995</v>
      </c>
      <c r="P502" s="1">
        <f>MROUND(O502,10)</f>
        <v>4860</v>
      </c>
    </row>
    <row r="503" spans="2:16" x14ac:dyDescent="0.25">
      <c r="B503" s="50" t="s">
        <v>2723</v>
      </c>
      <c r="C503" s="51" t="s">
        <v>2764</v>
      </c>
      <c r="D503" s="51" t="s">
        <v>2762</v>
      </c>
      <c r="E503" s="1">
        <v>2240</v>
      </c>
      <c r="F503" s="1">
        <v>0</v>
      </c>
      <c r="G503" s="1">
        <v>0.13</v>
      </c>
      <c r="H503" s="1">
        <f t="shared" si="195"/>
        <v>0</v>
      </c>
      <c r="I503" s="52">
        <f t="shared" si="196"/>
        <v>291.2</v>
      </c>
      <c r="J503" s="52">
        <f t="shared" si="197"/>
        <v>2531.1999999999998</v>
      </c>
      <c r="K503" s="53">
        <v>0.15</v>
      </c>
      <c r="L503" s="52">
        <f t="shared" si="198"/>
        <v>379.67999999999995</v>
      </c>
      <c r="M503" s="52">
        <f t="shared" si="199"/>
        <v>2910.8799999999997</v>
      </c>
      <c r="N503" s="53">
        <v>0.2</v>
      </c>
      <c r="O503" s="52">
        <f t="shared" si="200"/>
        <v>3638.5999999999995</v>
      </c>
      <c r="P503" s="1">
        <f t="shared" ref="P503:P510" si="201">MROUND(O503,10)</f>
        <v>3640</v>
      </c>
    </row>
    <row r="504" spans="2:16" x14ac:dyDescent="0.25">
      <c r="B504" s="50" t="s">
        <v>2712</v>
      </c>
      <c r="C504" s="51" t="s">
        <v>2765</v>
      </c>
      <c r="D504" s="51" t="s">
        <v>2762</v>
      </c>
      <c r="E504" s="1">
        <v>1820</v>
      </c>
      <c r="F504" s="1">
        <v>0</v>
      </c>
      <c r="G504" s="1">
        <v>0.13</v>
      </c>
      <c r="H504" s="1">
        <f t="shared" si="195"/>
        <v>0</v>
      </c>
      <c r="I504" s="52">
        <f t="shared" si="196"/>
        <v>236.6</v>
      </c>
      <c r="J504" s="52">
        <f t="shared" si="197"/>
        <v>2056.6</v>
      </c>
      <c r="K504" s="53">
        <v>0.15</v>
      </c>
      <c r="L504" s="52">
        <f t="shared" si="198"/>
        <v>308.48999999999995</v>
      </c>
      <c r="M504" s="52">
        <f t="shared" si="199"/>
        <v>2365.0899999999997</v>
      </c>
      <c r="N504" s="53">
        <v>0.2</v>
      </c>
      <c r="O504" s="52">
        <f t="shared" si="200"/>
        <v>2956.3624999999993</v>
      </c>
      <c r="P504" s="1">
        <f t="shared" si="201"/>
        <v>2960</v>
      </c>
    </row>
    <row r="505" spans="2:16" x14ac:dyDescent="0.25">
      <c r="B505" s="50" t="s">
        <v>2714</v>
      </c>
      <c r="C505" s="51" t="s">
        <v>2766</v>
      </c>
      <c r="D505" s="51" t="s">
        <v>2762</v>
      </c>
      <c r="E505" s="1">
        <v>1820</v>
      </c>
      <c r="F505" s="1">
        <v>0</v>
      </c>
      <c r="G505" s="1">
        <v>0.13</v>
      </c>
      <c r="H505" s="1">
        <f t="shared" si="195"/>
        <v>0</v>
      </c>
      <c r="I505" s="52">
        <f t="shared" si="196"/>
        <v>236.6</v>
      </c>
      <c r="J505" s="52">
        <f t="shared" si="197"/>
        <v>2056.6</v>
      </c>
      <c r="K505" s="53">
        <v>0.15</v>
      </c>
      <c r="L505" s="52">
        <f t="shared" si="198"/>
        <v>308.48999999999995</v>
      </c>
      <c r="M505" s="52">
        <f t="shared" si="199"/>
        <v>2365.0899999999997</v>
      </c>
      <c r="N505" s="53">
        <v>0.2</v>
      </c>
      <c r="O505" s="52">
        <f t="shared" si="200"/>
        <v>2956.3624999999993</v>
      </c>
      <c r="P505" s="1">
        <f t="shared" si="201"/>
        <v>2960</v>
      </c>
    </row>
    <row r="506" spans="2:16" x14ac:dyDescent="0.25">
      <c r="B506" s="50" t="s">
        <v>2710</v>
      </c>
      <c r="C506" s="51" t="s">
        <v>2767</v>
      </c>
      <c r="D506" s="51" t="s">
        <v>2762</v>
      </c>
      <c r="E506" s="1">
        <v>1120</v>
      </c>
      <c r="F506" s="1">
        <v>0</v>
      </c>
      <c r="G506" s="1">
        <v>0.13</v>
      </c>
      <c r="H506" s="1">
        <f t="shared" si="195"/>
        <v>0</v>
      </c>
      <c r="I506" s="52">
        <f t="shared" si="196"/>
        <v>145.6</v>
      </c>
      <c r="J506" s="52">
        <f t="shared" si="197"/>
        <v>1265.5999999999999</v>
      </c>
      <c r="K506" s="53">
        <v>0.15</v>
      </c>
      <c r="L506" s="52">
        <f t="shared" si="198"/>
        <v>189.83999999999997</v>
      </c>
      <c r="M506" s="52">
        <f t="shared" si="199"/>
        <v>1455.4399999999998</v>
      </c>
      <c r="N506" s="53">
        <v>0.2</v>
      </c>
      <c r="O506" s="52">
        <f t="shared" si="200"/>
        <v>1819.2999999999997</v>
      </c>
      <c r="P506" s="1">
        <f t="shared" si="201"/>
        <v>1820</v>
      </c>
    </row>
    <row r="507" spans="2:16" x14ac:dyDescent="0.25">
      <c r="B507" s="50" t="s">
        <v>2518</v>
      </c>
      <c r="C507" s="51" t="s">
        <v>2768</v>
      </c>
      <c r="D507" s="51" t="s">
        <v>2762</v>
      </c>
      <c r="E507" s="1">
        <v>1920</v>
      </c>
      <c r="F507" s="1">
        <v>0</v>
      </c>
      <c r="G507" s="1">
        <v>0.13</v>
      </c>
      <c r="H507" s="1">
        <f t="shared" si="195"/>
        <v>0</v>
      </c>
      <c r="I507" s="52">
        <f t="shared" si="196"/>
        <v>249.60000000000002</v>
      </c>
      <c r="J507" s="52">
        <f t="shared" si="197"/>
        <v>2169.6</v>
      </c>
      <c r="K507" s="53">
        <v>0.15</v>
      </c>
      <c r="L507" s="52">
        <f t="shared" si="198"/>
        <v>325.44</v>
      </c>
      <c r="M507" s="52">
        <f t="shared" si="199"/>
        <v>2495.04</v>
      </c>
      <c r="N507" s="53">
        <v>0.2</v>
      </c>
      <c r="O507" s="52">
        <f t="shared" si="200"/>
        <v>3118.7999999999997</v>
      </c>
      <c r="P507" s="1">
        <f t="shared" si="201"/>
        <v>3120</v>
      </c>
    </row>
    <row r="508" spans="2:16" x14ac:dyDescent="0.25">
      <c r="B508" s="50" t="s">
        <v>2769</v>
      </c>
      <c r="C508" s="51" t="s">
        <v>2770</v>
      </c>
      <c r="D508" s="51" t="s">
        <v>2762</v>
      </c>
      <c r="E508" s="1">
        <v>4120</v>
      </c>
      <c r="F508" s="1">
        <v>0</v>
      </c>
      <c r="G508" s="1">
        <v>0.13</v>
      </c>
      <c r="H508" s="1">
        <f t="shared" si="195"/>
        <v>0</v>
      </c>
      <c r="I508" s="52">
        <f t="shared" si="196"/>
        <v>535.6</v>
      </c>
      <c r="J508" s="52">
        <f t="shared" si="197"/>
        <v>4655.6000000000004</v>
      </c>
      <c r="K508" s="53">
        <v>0.15</v>
      </c>
      <c r="L508" s="52">
        <f t="shared" si="198"/>
        <v>698.34</v>
      </c>
      <c r="M508" s="52">
        <f t="shared" si="199"/>
        <v>5353.9400000000005</v>
      </c>
      <c r="N508" s="53">
        <v>0.2</v>
      </c>
      <c r="O508" s="52">
        <f t="shared" si="200"/>
        <v>6692.4250000000002</v>
      </c>
      <c r="P508" s="1">
        <f t="shared" si="201"/>
        <v>6690</v>
      </c>
    </row>
    <row r="509" spans="2:16" x14ac:dyDescent="0.25">
      <c r="B509" s="50" t="s">
        <v>2756</v>
      </c>
      <c r="C509" s="51" t="s">
        <v>2771</v>
      </c>
      <c r="D509" s="51" t="s">
        <v>2762</v>
      </c>
      <c r="E509" s="1">
        <v>6700</v>
      </c>
      <c r="F509" s="1">
        <v>0</v>
      </c>
      <c r="G509" s="1">
        <v>0.13</v>
      </c>
      <c r="H509" s="1">
        <f t="shared" si="195"/>
        <v>0</v>
      </c>
      <c r="I509" s="52">
        <f t="shared" si="196"/>
        <v>871</v>
      </c>
      <c r="J509" s="52">
        <f t="shared" si="197"/>
        <v>7571</v>
      </c>
      <c r="K509" s="53">
        <v>0.15</v>
      </c>
      <c r="L509" s="52">
        <f t="shared" si="198"/>
        <v>1135.6499999999999</v>
      </c>
      <c r="M509" s="52">
        <f t="shared" si="199"/>
        <v>8706.65</v>
      </c>
      <c r="N509" s="53">
        <v>0.2</v>
      </c>
      <c r="O509" s="52">
        <f t="shared" si="200"/>
        <v>10883.312499999998</v>
      </c>
      <c r="P509" s="1">
        <f t="shared" si="201"/>
        <v>10880</v>
      </c>
    </row>
    <row r="510" spans="2:16" x14ac:dyDescent="0.25">
      <c r="B510" s="50" t="s">
        <v>2772</v>
      </c>
      <c r="C510" s="51" t="s">
        <v>2773</v>
      </c>
      <c r="D510" s="51" t="s">
        <v>2762</v>
      </c>
      <c r="E510" s="1">
        <v>2430</v>
      </c>
      <c r="F510" s="1">
        <v>0</v>
      </c>
      <c r="G510" s="1">
        <v>0.13</v>
      </c>
      <c r="H510" s="1">
        <f t="shared" si="195"/>
        <v>0</v>
      </c>
      <c r="I510" s="52">
        <f t="shared" si="196"/>
        <v>315.90000000000003</v>
      </c>
      <c r="J510" s="52">
        <f t="shared" si="197"/>
        <v>2745.9</v>
      </c>
      <c r="K510" s="53">
        <v>0.15</v>
      </c>
      <c r="L510" s="52">
        <f t="shared" si="198"/>
        <v>411.88499999999999</v>
      </c>
      <c r="M510" s="52">
        <f t="shared" si="199"/>
        <v>3157.7849999999999</v>
      </c>
      <c r="N510" s="53">
        <v>0.2</v>
      </c>
      <c r="O510" s="52">
        <f t="shared" si="200"/>
        <v>3947.2312499999998</v>
      </c>
      <c r="P510" s="1">
        <f t="shared" si="201"/>
        <v>3950</v>
      </c>
    </row>
    <row r="511" spans="2:16" x14ac:dyDescent="0.25">
      <c r="B511" s="126" t="s">
        <v>2774</v>
      </c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8"/>
    </row>
    <row r="512" spans="2:16" x14ac:dyDescent="0.25">
      <c r="B512" s="50" t="s">
        <v>2775</v>
      </c>
      <c r="C512" s="51" t="s">
        <v>2776</v>
      </c>
      <c r="D512" s="51" t="s">
        <v>2777</v>
      </c>
      <c r="E512" s="1">
        <v>170</v>
      </c>
      <c r="F512" s="1">
        <v>0.05</v>
      </c>
      <c r="G512" s="1">
        <v>0.13</v>
      </c>
      <c r="H512" s="1">
        <f>F512*E512</f>
        <v>8.5</v>
      </c>
      <c r="I512" s="52">
        <f>G512*(E512+H512)</f>
        <v>23.205000000000002</v>
      </c>
      <c r="J512" s="52">
        <f>E512+H512+I512</f>
        <v>201.70500000000001</v>
      </c>
      <c r="K512" s="53">
        <v>0.15</v>
      </c>
      <c r="L512" s="52">
        <f>J512*K512</f>
        <v>30.255749999999999</v>
      </c>
      <c r="M512" s="52">
        <f>J512+L512</f>
        <v>231.96075000000002</v>
      </c>
      <c r="N512" s="53">
        <v>0.2</v>
      </c>
      <c r="O512" s="52">
        <f>$M512/(1-N512)</f>
        <v>289.95093750000001</v>
      </c>
      <c r="P512" s="1">
        <f>MROUND(O512,10)</f>
        <v>290</v>
      </c>
    </row>
    <row r="513" spans="2:16" x14ac:dyDescent="0.25">
      <c r="B513" s="50" t="s">
        <v>2778</v>
      </c>
      <c r="C513" s="51" t="s">
        <v>2779</v>
      </c>
      <c r="D513" s="51" t="s">
        <v>2777</v>
      </c>
      <c r="E513" s="1">
        <v>420</v>
      </c>
      <c r="F513" s="1">
        <v>0.05</v>
      </c>
      <c r="G513" s="1">
        <v>0.13</v>
      </c>
      <c r="H513" s="1">
        <f>F513*E513</f>
        <v>21</v>
      </c>
      <c r="I513" s="52">
        <f>G513*(E513+H513)</f>
        <v>57.330000000000005</v>
      </c>
      <c r="J513" s="52">
        <f>E513+H513+I513</f>
        <v>498.33</v>
      </c>
      <c r="K513" s="53">
        <v>0.15</v>
      </c>
      <c r="L513" s="52">
        <f>J513*K513</f>
        <v>74.749499999999998</v>
      </c>
      <c r="M513" s="52">
        <f>J513+L513</f>
        <v>573.07949999999994</v>
      </c>
      <c r="N513" s="53">
        <v>0.2</v>
      </c>
      <c r="O513" s="52">
        <f>$M513/(1-N513)</f>
        <v>716.3493749999999</v>
      </c>
      <c r="P513" s="1">
        <f>MROUND(O513,10)</f>
        <v>720</v>
      </c>
    </row>
    <row r="514" spans="2:16" x14ac:dyDescent="0.25">
      <c r="B514" s="126" t="s">
        <v>2780</v>
      </c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8"/>
    </row>
    <row r="515" spans="2:16" x14ac:dyDescent="0.25">
      <c r="B515" s="50" t="s">
        <v>2781</v>
      </c>
      <c r="C515" s="51" t="s">
        <v>2782</v>
      </c>
      <c r="D515" s="51" t="s">
        <v>2777</v>
      </c>
      <c r="E515" s="1">
        <v>280</v>
      </c>
      <c r="F515" s="1">
        <v>0.05</v>
      </c>
      <c r="G515" s="1">
        <v>0.13</v>
      </c>
      <c r="H515" s="1">
        <f>F515*E515</f>
        <v>14</v>
      </c>
      <c r="I515" s="52">
        <f>G515*(E515+H515)</f>
        <v>38.22</v>
      </c>
      <c r="J515" s="52">
        <f>E515+H515+I515</f>
        <v>332.22</v>
      </c>
      <c r="K515" s="53">
        <v>0.15</v>
      </c>
      <c r="L515" s="52">
        <f>J515*K515</f>
        <v>49.833000000000006</v>
      </c>
      <c r="M515" s="52">
        <f>J515+L515</f>
        <v>382.05300000000005</v>
      </c>
      <c r="N515" s="53">
        <v>0.2</v>
      </c>
      <c r="O515" s="52">
        <f>$M515/(1-N515)</f>
        <v>477.56625000000003</v>
      </c>
      <c r="P515" s="1">
        <f>MROUND(O515,10)</f>
        <v>480</v>
      </c>
    </row>
    <row r="516" spans="2:16" x14ac:dyDescent="0.25">
      <c r="B516" s="50" t="s">
        <v>2783</v>
      </c>
      <c r="C516" s="51" t="s">
        <v>2784</v>
      </c>
      <c r="D516" s="51" t="s">
        <v>2777</v>
      </c>
      <c r="E516" s="1">
        <v>300</v>
      </c>
      <c r="F516" s="1">
        <v>0.05</v>
      </c>
      <c r="G516" s="1">
        <v>0.13</v>
      </c>
      <c r="H516" s="1">
        <f>F516*E516</f>
        <v>15</v>
      </c>
      <c r="I516" s="52">
        <f>G516*(E516+H516)</f>
        <v>40.950000000000003</v>
      </c>
      <c r="J516" s="52">
        <f>E516+H516+I516</f>
        <v>355.95</v>
      </c>
      <c r="K516" s="53">
        <v>0.15</v>
      </c>
      <c r="L516" s="52">
        <f>J516*K516</f>
        <v>53.392499999999998</v>
      </c>
      <c r="M516" s="52">
        <f>J516+L516</f>
        <v>409.34249999999997</v>
      </c>
      <c r="N516" s="53">
        <v>0.2</v>
      </c>
      <c r="O516" s="52">
        <f>$M516/(1-N516)</f>
        <v>511.67812499999997</v>
      </c>
      <c r="P516" s="1">
        <f>MROUND(O516,10)</f>
        <v>510</v>
      </c>
    </row>
    <row r="517" spans="2:16" x14ac:dyDescent="0.25">
      <c r="B517" s="50" t="s">
        <v>2785</v>
      </c>
      <c r="C517" s="51" t="s">
        <v>2786</v>
      </c>
      <c r="D517" s="51" t="s">
        <v>2777</v>
      </c>
      <c r="E517" s="1">
        <v>290</v>
      </c>
      <c r="F517" s="1">
        <v>0</v>
      </c>
      <c r="G517" s="1">
        <v>0.13</v>
      </c>
      <c r="H517" s="1">
        <f>F517*E517</f>
        <v>0</v>
      </c>
      <c r="I517" s="52">
        <f>G517*(E517+H517)</f>
        <v>37.700000000000003</v>
      </c>
      <c r="J517" s="52">
        <f>E517+H517+I517</f>
        <v>327.7</v>
      </c>
      <c r="K517" s="53">
        <v>0.15</v>
      </c>
      <c r="L517" s="52">
        <f>J517*K517</f>
        <v>49.154999999999994</v>
      </c>
      <c r="M517" s="52">
        <f>J517+L517</f>
        <v>376.85499999999996</v>
      </c>
      <c r="N517" s="53">
        <v>0.2</v>
      </c>
      <c r="O517" s="52">
        <f>$M517/(1-N517)</f>
        <v>471.06874999999991</v>
      </c>
      <c r="P517" s="1">
        <f>MROUND(O517,10)</f>
        <v>470</v>
      </c>
    </row>
    <row r="518" spans="2:16" x14ac:dyDescent="0.25">
      <c r="B518" s="50" t="s">
        <v>2787</v>
      </c>
      <c r="C518" s="51" t="s">
        <v>2788</v>
      </c>
      <c r="D518" s="51" t="s">
        <v>2777</v>
      </c>
      <c r="E518" s="1">
        <v>320</v>
      </c>
      <c r="F518" s="1">
        <v>0</v>
      </c>
      <c r="G518" s="1">
        <v>0.13</v>
      </c>
      <c r="H518" s="1">
        <f>F518*E518</f>
        <v>0</v>
      </c>
      <c r="I518" s="52">
        <f>G518*(E518+H518)</f>
        <v>41.6</v>
      </c>
      <c r="J518" s="52">
        <f>E518+H518+I518</f>
        <v>361.6</v>
      </c>
      <c r="K518" s="53">
        <v>0.15</v>
      </c>
      <c r="L518" s="52">
        <f>J518*K518</f>
        <v>54.24</v>
      </c>
      <c r="M518" s="52">
        <f>J518+L518</f>
        <v>415.84000000000003</v>
      </c>
      <c r="N518" s="53">
        <v>0.2</v>
      </c>
      <c r="O518" s="52">
        <f>$M518/(1-N518)</f>
        <v>519.79999999999995</v>
      </c>
      <c r="P518" s="1">
        <f>MROUND(O518,10)</f>
        <v>520</v>
      </c>
    </row>
    <row r="519" spans="2:16" x14ac:dyDescent="0.25">
      <c r="B519" s="140" t="s">
        <v>2789</v>
      </c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</row>
    <row r="520" spans="2:16" x14ac:dyDescent="0.25">
      <c r="B520" s="50" t="s">
        <v>2790</v>
      </c>
      <c r="C520" s="51" t="s">
        <v>2791</v>
      </c>
      <c r="D520" s="51" t="s">
        <v>2777</v>
      </c>
      <c r="E520" s="1">
        <v>110</v>
      </c>
      <c r="F520" s="1">
        <v>0.05</v>
      </c>
      <c r="G520" s="1">
        <v>0.13</v>
      </c>
      <c r="H520" s="1">
        <f>F520*E520</f>
        <v>5.5</v>
      </c>
      <c r="I520" s="52">
        <f>G520*(E520+H520)</f>
        <v>15.015000000000001</v>
      </c>
      <c r="J520" s="52">
        <f>E520+H520+I520</f>
        <v>130.51499999999999</v>
      </c>
      <c r="K520" s="53">
        <v>0.15</v>
      </c>
      <c r="L520" s="52">
        <f>J520*K520</f>
        <v>19.577249999999996</v>
      </c>
      <c r="M520" s="52">
        <f>J520+L520</f>
        <v>150.09224999999998</v>
      </c>
      <c r="N520" s="53">
        <v>0.2</v>
      </c>
      <c r="O520" s="52">
        <f>$M520/(1-N520)</f>
        <v>187.61531249999996</v>
      </c>
      <c r="P520" s="1">
        <f>MROUND(O520,10)</f>
        <v>190</v>
      </c>
    </row>
    <row r="521" spans="2:16" x14ac:dyDescent="0.25">
      <c r="B521" s="50" t="s">
        <v>2792</v>
      </c>
      <c r="C521" s="51" t="s">
        <v>2793</v>
      </c>
      <c r="D521" s="51" t="s">
        <v>2777</v>
      </c>
      <c r="E521" s="1">
        <v>140</v>
      </c>
      <c r="F521" s="1">
        <v>0.05</v>
      </c>
      <c r="G521" s="1">
        <v>0.13</v>
      </c>
      <c r="H521" s="1">
        <f>F521*E521</f>
        <v>7</v>
      </c>
      <c r="I521" s="52">
        <f>G521*(E521+H521)</f>
        <v>19.11</v>
      </c>
      <c r="J521" s="52">
        <f>E521+H521+I521</f>
        <v>166.11</v>
      </c>
      <c r="K521" s="53">
        <v>0.15</v>
      </c>
      <c r="L521" s="52">
        <f>J521*K521</f>
        <v>24.916500000000003</v>
      </c>
      <c r="M521" s="52">
        <f>J521+L521</f>
        <v>191.02650000000003</v>
      </c>
      <c r="N521" s="53">
        <v>0.2</v>
      </c>
      <c r="O521" s="52">
        <f>$M521/(1-N521)</f>
        <v>238.78312500000001</v>
      </c>
      <c r="P521" s="1">
        <f>MROUND(O521,10)</f>
        <v>240</v>
      </c>
    </row>
    <row r="522" spans="2:16" x14ac:dyDescent="0.25">
      <c r="B522" s="50" t="s">
        <v>2794</v>
      </c>
      <c r="C522" s="51" t="s">
        <v>2795</v>
      </c>
      <c r="D522" s="51" t="s">
        <v>2777</v>
      </c>
      <c r="E522" s="1">
        <v>170</v>
      </c>
      <c r="F522" s="1">
        <v>0.05</v>
      </c>
      <c r="G522" s="1">
        <v>0.13</v>
      </c>
      <c r="H522" s="1">
        <f>F522*E522</f>
        <v>8.5</v>
      </c>
      <c r="I522" s="52">
        <f>G522*(E522+H522)</f>
        <v>23.205000000000002</v>
      </c>
      <c r="J522" s="52">
        <f>E522+H522+I522</f>
        <v>201.70500000000001</v>
      </c>
      <c r="K522" s="53">
        <v>0.15</v>
      </c>
      <c r="L522" s="52">
        <f>J522*K522</f>
        <v>30.255749999999999</v>
      </c>
      <c r="M522" s="52">
        <f>J522+L522</f>
        <v>231.96075000000002</v>
      </c>
      <c r="N522" s="53">
        <v>0.2</v>
      </c>
      <c r="O522" s="52">
        <f>$M522/(1-N522)</f>
        <v>289.95093750000001</v>
      </c>
      <c r="P522" s="1">
        <f>MROUND(O522,10)</f>
        <v>290</v>
      </c>
    </row>
    <row r="523" spans="2:16" x14ac:dyDescent="0.25">
      <c r="B523" s="50" t="s">
        <v>2796</v>
      </c>
      <c r="C523" s="51" t="s">
        <v>2797</v>
      </c>
      <c r="D523" s="51" t="s">
        <v>2777</v>
      </c>
      <c r="E523" s="1">
        <v>220</v>
      </c>
      <c r="F523" s="1">
        <v>0.05</v>
      </c>
      <c r="G523" s="1">
        <v>0.13</v>
      </c>
      <c r="H523" s="1">
        <f>F523*E523</f>
        <v>11</v>
      </c>
      <c r="I523" s="52">
        <f>G523*(E523+H523)</f>
        <v>30.03</v>
      </c>
      <c r="J523" s="52">
        <f>E523+H523+I523</f>
        <v>261.02999999999997</v>
      </c>
      <c r="K523" s="53">
        <v>0.15</v>
      </c>
      <c r="L523" s="52">
        <f>J523*K523</f>
        <v>39.154499999999992</v>
      </c>
      <c r="M523" s="52">
        <f>J523+L523</f>
        <v>300.18449999999996</v>
      </c>
      <c r="N523" s="53">
        <v>0.2</v>
      </c>
      <c r="O523" s="52">
        <f>$M523/(1-N523)</f>
        <v>375.23062499999992</v>
      </c>
      <c r="P523" s="1">
        <f>MROUND(O523,10)</f>
        <v>380</v>
      </c>
    </row>
    <row r="524" spans="2:16" x14ac:dyDescent="0.25">
      <c r="B524" s="125" t="s">
        <v>2798</v>
      </c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</row>
    <row r="525" spans="2:16" x14ac:dyDescent="0.25">
      <c r="B525" s="50" t="s">
        <v>2799</v>
      </c>
      <c r="C525" s="51" t="s">
        <v>2800</v>
      </c>
      <c r="D525" s="51" t="s">
        <v>2708</v>
      </c>
      <c r="E525" s="1">
        <v>530</v>
      </c>
      <c r="F525" s="1">
        <v>0</v>
      </c>
      <c r="G525" s="1">
        <v>0.13</v>
      </c>
      <c r="H525" s="1">
        <f t="shared" ref="H525:H530" si="202">F525*E525</f>
        <v>0</v>
      </c>
      <c r="I525" s="52">
        <f t="shared" ref="I525:I530" si="203">G525*(E525+H525)</f>
        <v>68.900000000000006</v>
      </c>
      <c r="J525" s="52">
        <f t="shared" ref="J525:J530" si="204">E525+H525+I525</f>
        <v>598.9</v>
      </c>
      <c r="K525" s="53">
        <v>0.15</v>
      </c>
      <c r="L525" s="52">
        <f t="shared" ref="L525:L530" si="205">J525*K525</f>
        <v>89.834999999999994</v>
      </c>
      <c r="M525" s="52">
        <f t="shared" ref="M525:M530" si="206">J525+L525</f>
        <v>688.73500000000001</v>
      </c>
      <c r="N525" s="53">
        <v>0.2</v>
      </c>
      <c r="O525" s="52">
        <f t="shared" ref="O525:O530" si="207">$M525/(1-N525)</f>
        <v>860.91874999999993</v>
      </c>
      <c r="P525" s="1">
        <f t="shared" ref="P525:P530" si="208">MROUND(O525,10)</f>
        <v>860</v>
      </c>
    </row>
    <row r="526" spans="2:16" x14ac:dyDescent="0.25">
      <c r="B526" s="50" t="s">
        <v>2801</v>
      </c>
      <c r="C526" s="51" t="s">
        <v>2802</v>
      </c>
      <c r="D526" s="51" t="s">
        <v>2708</v>
      </c>
      <c r="E526" s="1">
        <v>510</v>
      </c>
      <c r="F526" s="1">
        <v>0</v>
      </c>
      <c r="G526" s="1">
        <v>0.13</v>
      </c>
      <c r="H526" s="1">
        <f t="shared" si="202"/>
        <v>0</v>
      </c>
      <c r="I526" s="52">
        <f t="shared" si="203"/>
        <v>66.3</v>
      </c>
      <c r="J526" s="52">
        <f t="shared" si="204"/>
        <v>576.29999999999995</v>
      </c>
      <c r="K526" s="53">
        <v>0.15</v>
      </c>
      <c r="L526" s="52">
        <f t="shared" si="205"/>
        <v>86.444999999999993</v>
      </c>
      <c r="M526" s="52">
        <f t="shared" si="206"/>
        <v>662.74499999999989</v>
      </c>
      <c r="N526" s="53">
        <v>0.2</v>
      </c>
      <c r="O526" s="52">
        <f t="shared" si="207"/>
        <v>828.43124999999986</v>
      </c>
      <c r="P526" s="1">
        <f t="shared" si="208"/>
        <v>830</v>
      </c>
    </row>
    <row r="527" spans="2:16" x14ac:dyDescent="0.25">
      <c r="B527" s="50" t="s">
        <v>2803</v>
      </c>
      <c r="C527" s="51" t="s">
        <v>2804</v>
      </c>
      <c r="D527" s="51" t="s">
        <v>2777</v>
      </c>
      <c r="E527" s="1">
        <v>3890</v>
      </c>
      <c r="F527" s="1">
        <v>0</v>
      </c>
      <c r="G527" s="1">
        <v>0.13</v>
      </c>
      <c r="H527" s="1">
        <f t="shared" si="202"/>
        <v>0</v>
      </c>
      <c r="I527" s="52">
        <f t="shared" si="203"/>
        <v>505.70000000000005</v>
      </c>
      <c r="J527" s="52">
        <f t="shared" si="204"/>
        <v>4395.7</v>
      </c>
      <c r="K527" s="53">
        <v>0.15</v>
      </c>
      <c r="L527" s="52">
        <f t="shared" si="205"/>
        <v>659.3549999999999</v>
      </c>
      <c r="M527" s="52">
        <f t="shared" si="206"/>
        <v>5055.0549999999994</v>
      </c>
      <c r="N527" s="53">
        <v>0.2</v>
      </c>
      <c r="O527" s="52">
        <f t="shared" si="207"/>
        <v>6318.8187499999985</v>
      </c>
      <c r="P527" s="1">
        <f t="shared" si="208"/>
        <v>6320</v>
      </c>
    </row>
    <row r="528" spans="2:16" x14ac:dyDescent="0.25">
      <c r="B528" s="50" t="s">
        <v>2805</v>
      </c>
      <c r="C528" s="51" t="s">
        <v>2806</v>
      </c>
      <c r="D528" s="51" t="s">
        <v>2777</v>
      </c>
      <c r="E528" s="1">
        <v>3890</v>
      </c>
      <c r="F528" s="1">
        <v>0</v>
      </c>
      <c r="G528" s="1">
        <v>0.13</v>
      </c>
      <c r="H528" s="1">
        <f t="shared" si="202"/>
        <v>0</v>
      </c>
      <c r="I528" s="52">
        <f t="shared" si="203"/>
        <v>505.70000000000005</v>
      </c>
      <c r="J528" s="52">
        <f t="shared" si="204"/>
        <v>4395.7</v>
      </c>
      <c r="K528" s="53">
        <v>0.15</v>
      </c>
      <c r="L528" s="52">
        <f t="shared" si="205"/>
        <v>659.3549999999999</v>
      </c>
      <c r="M528" s="52">
        <f t="shared" si="206"/>
        <v>5055.0549999999994</v>
      </c>
      <c r="N528" s="53">
        <v>0.2</v>
      </c>
      <c r="O528" s="52">
        <f t="shared" si="207"/>
        <v>6318.8187499999985</v>
      </c>
      <c r="P528" s="1">
        <f t="shared" si="208"/>
        <v>6320</v>
      </c>
    </row>
    <row r="529" spans="2:16" x14ac:dyDescent="0.25">
      <c r="B529" s="50" t="s">
        <v>2807</v>
      </c>
      <c r="C529" s="51" t="s">
        <v>2808</v>
      </c>
      <c r="D529" s="51" t="s">
        <v>2777</v>
      </c>
      <c r="E529" s="1">
        <v>3890</v>
      </c>
      <c r="F529" s="1">
        <v>0</v>
      </c>
      <c r="G529" s="1">
        <v>0.13</v>
      </c>
      <c r="H529" s="1">
        <f t="shared" si="202"/>
        <v>0</v>
      </c>
      <c r="I529" s="52">
        <f t="shared" si="203"/>
        <v>505.70000000000005</v>
      </c>
      <c r="J529" s="52">
        <f t="shared" si="204"/>
        <v>4395.7</v>
      </c>
      <c r="K529" s="53">
        <v>0.15</v>
      </c>
      <c r="L529" s="52">
        <f t="shared" si="205"/>
        <v>659.3549999999999</v>
      </c>
      <c r="M529" s="52">
        <f t="shared" si="206"/>
        <v>5055.0549999999994</v>
      </c>
      <c r="N529" s="53">
        <v>0.2</v>
      </c>
      <c r="O529" s="52">
        <f t="shared" si="207"/>
        <v>6318.8187499999985</v>
      </c>
      <c r="P529" s="1">
        <f t="shared" si="208"/>
        <v>6320</v>
      </c>
    </row>
    <row r="530" spans="2:16" x14ac:dyDescent="0.25">
      <c r="B530" s="50" t="s">
        <v>2809</v>
      </c>
      <c r="C530" s="51" t="s">
        <v>2810</v>
      </c>
      <c r="D530" s="51" t="s">
        <v>2708</v>
      </c>
      <c r="E530" s="1">
        <v>1940</v>
      </c>
      <c r="F530" s="1">
        <v>0</v>
      </c>
      <c r="G530" s="1">
        <v>0.13</v>
      </c>
      <c r="H530" s="1">
        <f t="shared" si="202"/>
        <v>0</v>
      </c>
      <c r="I530" s="52">
        <f t="shared" si="203"/>
        <v>252.20000000000002</v>
      </c>
      <c r="J530" s="52">
        <f t="shared" si="204"/>
        <v>2192.1999999999998</v>
      </c>
      <c r="K530" s="53">
        <v>0.15</v>
      </c>
      <c r="L530" s="52">
        <f t="shared" si="205"/>
        <v>328.83</v>
      </c>
      <c r="M530" s="52">
        <f t="shared" si="206"/>
        <v>2521.0299999999997</v>
      </c>
      <c r="N530" s="53">
        <v>0.2</v>
      </c>
      <c r="O530" s="52">
        <f t="shared" si="207"/>
        <v>3151.2874999999995</v>
      </c>
      <c r="P530" s="1">
        <f t="shared" si="208"/>
        <v>3150</v>
      </c>
    </row>
    <row r="531" spans="2:16" x14ac:dyDescent="0.25">
      <c r="B531" s="125" t="s">
        <v>2811</v>
      </c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</row>
    <row r="532" spans="2:16" x14ac:dyDescent="0.25">
      <c r="B532" s="50" t="s">
        <v>2812</v>
      </c>
      <c r="C532" s="51" t="s">
        <v>2813</v>
      </c>
      <c r="D532" s="51" t="s">
        <v>2811</v>
      </c>
      <c r="E532" s="1">
        <v>32900</v>
      </c>
      <c r="F532" s="1">
        <v>0.1</v>
      </c>
      <c r="G532" s="1">
        <v>0.13</v>
      </c>
      <c r="H532" s="1">
        <f t="shared" ref="H532:H543" si="209">F532*E532</f>
        <v>3290</v>
      </c>
      <c r="I532" s="52">
        <f t="shared" ref="I532:I543" si="210">G532*(E532+H532)</f>
        <v>4704.7</v>
      </c>
      <c r="J532" s="52">
        <f t="shared" ref="J532:J543" si="211">E532+H532+I532</f>
        <v>40894.699999999997</v>
      </c>
      <c r="K532" s="53">
        <v>0.2</v>
      </c>
      <c r="L532" s="52">
        <f t="shared" ref="L532:L543" si="212">J532*K532</f>
        <v>8178.94</v>
      </c>
      <c r="M532" s="52">
        <f t="shared" ref="M532:M543" si="213">J532+L532</f>
        <v>49073.64</v>
      </c>
      <c r="N532" s="53">
        <v>0.2</v>
      </c>
      <c r="O532" s="52">
        <f t="shared" ref="O532:O543" si="214">$M532/(1-N532)</f>
        <v>61342.049999999996</v>
      </c>
      <c r="P532" s="1">
        <f t="shared" ref="P532:P543" si="215">MROUND(O532,10)</f>
        <v>61340</v>
      </c>
    </row>
    <row r="533" spans="2:16" x14ac:dyDescent="0.25">
      <c r="B533" s="50" t="s">
        <v>2814</v>
      </c>
      <c r="C533" s="51" t="s">
        <v>2815</v>
      </c>
      <c r="D533" s="51" t="s">
        <v>2811</v>
      </c>
      <c r="E533" s="1">
        <v>32900</v>
      </c>
      <c r="F533" s="1">
        <v>0.1</v>
      </c>
      <c r="G533" s="1">
        <v>0.13</v>
      </c>
      <c r="H533" s="1">
        <f t="shared" si="209"/>
        <v>3290</v>
      </c>
      <c r="I533" s="52">
        <f t="shared" si="210"/>
        <v>4704.7</v>
      </c>
      <c r="J533" s="52">
        <f t="shared" si="211"/>
        <v>40894.699999999997</v>
      </c>
      <c r="K533" s="53">
        <v>0.2</v>
      </c>
      <c r="L533" s="52">
        <f t="shared" si="212"/>
        <v>8178.94</v>
      </c>
      <c r="M533" s="52">
        <f t="shared" si="213"/>
        <v>49073.64</v>
      </c>
      <c r="N533" s="53">
        <v>0.2</v>
      </c>
      <c r="O533" s="52">
        <f t="shared" si="214"/>
        <v>61342.049999999996</v>
      </c>
      <c r="P533" s="1">
        <f t="shared" si="215"/>
        <v>61340</v>
      </c>
    </row>
    <row r="534" spans="2:16" x14ac:dyDescent="0.25">
      <c r="B534" s="50" t="s">
        <v>2816</v>
      </c>
      <c r="C534" s="51" t="s">
        <v>2817</v>
      </c>
      <c r="D534" s="51" t="s">
        <v>2811</v>
      </c>
      <c r="E534" s="1">
        <v>36260</v>
      </c>
      <c r="F534" s="1">
        <v>0.1</v>
      </c>
      <c r="G534" s="1">
        <v>0.13</v>
      </c>
      <c r="H534" s="1">
        <f t="shared" si="209"/>
        <v>3626</v>
      </c>
      <c r="I534" s="52">
        <f t="shared" si="210"/>
        <v>5185.18</v>
      </c>
      <c r="J534" s="52">
        <f t="shared" si="211"/>
        <v>45071.18</v>
      </c>
      <c r="K534" s="53">
        <v>0.2</v>
      </c>
      <c r="L534" s="52">
        <f t="shared" si="212"/>
        <v>9014.2360000000008</v>
      </c>
      <c r="M534" s="52">
        <f t="shared" si="213"/>
        <v>54085.415999999997</v>
      </c>
      <c r="N534" s="53">
        <v>0.2</v>
      </c>
      <c r="O534" s="52">
        <f t="shared" si="214"/>
        <v>67606.76999999999</v>
      </c>
      <c r="P534" s="1">
        <f t="shared" si="215"/>
        <v>67610</v>
      </c>
    </row>
    <row r="535" spans="2:16" x14ac:dyDescent="0.25">
      <c r="B535" s="50" t="s">
        <v>2818</v>
      </c>
      <c r="C535" s="51" t="s">
        <v>2819</v>
      </c>
      <c r="D535" s="51" t="s">
        <v>2811</v>
      </c>
      <c r="E535" s="1">
        <v>36260</v>
      </c>
      <c r="F535" s="1">
        <v>0.1</v>
      </c>
      <c r="G535" s="1">
        <v>0.13</v>
      </c>
      <c r="H535" s="1">
        <f t="shared" si="209"/>
        <v>3626</v>
      </c>
      <c r="I535" s="52">
        <f t="shared" si="210"/>
        <v>5185.18</v>
      </c>
      <c r="J535" s="52">
        <f t="shared" si="211"/>
        <v>45071.18</v>
      </c>
      <c r="K535" s="53">
        <v>0.2</v>
      </c>
      <c r="L535" s="52">
        <f t="shared" si="212"/>
        <v>9014.2360000000008</v>
      </c>
      <c r="M535" s="52">
        <f t="shared" si="213"/>
        <v>54085.415999999997</v>
      </c>
      <c r="N535" s="53">
        <v>0.2</v>
      </c>
      <c r="O535" s="52">
        <f t="shared" si="214"/>
        <v>67606.76999999999</v>
      </c>
      <c r="P535" s="1">
        <f t="shared" si="215"/>
        <v>67610</v>
      </c>
    </row>
    <row r="536" spans="2:16" x14ac:dyDescent="0.25">
      <c r="B536" s="50" t="s">
        <v>2820</v>
      </c>
      <c r="C536" s="51" t="s">
        <v>2821</v>
      </c>
      <c r="D536" s="51" t="s">
        <v>2811</v>
      </c>
      <c r="E536" s="1">
        <v>38910</v>
      </c>
      <c r="F536" s="1">
        <v>0.1</v>
      </c>
      <c r="G536" s="1">
        <v>0.13</v>
      </c>
      <c r="H536" s="1">
        <f t="shared" si="209"/>
        <v>3891</v>
      </c>
      <c r="I536" s="52">
        <f t="shared" si="210"/>
        <v>5564.13</v>
      </c>
      <c r="J536" s="52">
        <f t="shared" si="211"/>
        <v>48365.13</v>
      </c>
      <c r="K536" s="53">
        <v>0.2</v>
      </c>
      <c r="L536" s="52">
        <f t="shared" si="212"/>
        <v>9673.0259999999998</v>
      </c>
      <c r="M536" s="52">
        <f t="shared" si="213"/>
        <v>58038.155999999995</v>
      </c>
      <c r="N536" s="53">
        <v>0.2</v>
      </c>
      <c r="O536" s="52">
        <f t="shared" si="214"/>
        <v>72547.694999999992</v>
      </c>
      <c r="P536" s="1">
        <f t="shared" si="215"/>
        <v>72550</v>
      </c>
    </row>
    <row r="537" spans="2:16" x14ac:dyDescent="0.25">
      <c r="B537" s="50" t="s">
        <v>2822</v>
      </c>
      <c r="C537" s="51" t="s">
        <v>2823</v>
      </c>
      <c r="D537" s="51" t="s">
        <v>2811</v>
      </c>
      <c r="E537" s="1">
        <v>38910</v>
      </c>
      <c r="F537" s="1">
        <v>0.1</v>
      </c>
      <c r="G537" s="1">
        <v>0.13</v>
      </c>
      <c r="H537" s="1">
        <f t="shared" si="209"/>
        <v>3891</v>
      </c>
      <c r="I537" s="52">
        <f t="shared" si="210"/>
        <v>5564.13</v>
      </c>
      <c r="J537" s="52">
        <f t="shared" si="211"/>
        <v>48365.13</v>
      </c>
      <c r="K537" s="53">
        <v>0.2</v>
      </c>
      <c r="L537" s="52">
        <f t="shared" si="212"/>
        <v>9673.0259999999998</v>
      </c>
      <c r="M537" s="52">
        <f t="shared" si="213"/>
        <v>58038.155999999995</v>
      </c>
      <c r="N537" s="53">
        <v>0.2</v>
      </c>
      <c r="O537" s="52">
        <f t="shared" si="214"/>
        <v>72547.694999999992</v>
      </c>
      <c r="P537" s="1">
        <f t="shared" si="215"/>
        <v>72550</v>
      </c>
    </row>
    <row r="538" spans="2:16" x14ac:dyDescent="0.25">
      <c r="B538" s="50" t="s">
        <v>2824</v>
      </c>
      <c r="C538" s="51" t="s">
        <v>2825</v>
      </c>
      <c r="D538" s="51" t="s">
        <v>2811</v>
      </c>
      <c r="E538" s="1">
        <v>43980</v>
      </c>
      <c r="F538" s="1">
        <v>0.1</v>
      </c>
      <c r="G538" s="1">
        <v>0.13</v>
      </c>
      <c r="H538" s="1">
        <f t="shared" si="209"/>
        <v>4398</v>
      </c>
      <c r="I538" s="52">
        <f t="shared" si="210"/>
        <v>6289.14</v>
      </c>
      <c r="J538" s="52">
        <f t="shared" si="211"/>
        <v>54667.14</v>
      </c>
      <c r="K538" s="53">
        <v>0.2</v>
      </c>
      <c r="L538" s="52">
        <f t="shared" si="212"/>
        <v>10933.428</v>
      </c>
      <c r="M538" s="52">
        <f t="shared" si="213"/>
        <v>65600.567999999999</v>
      </c>
      <c r="N538" s="53">
        <v>0.2</v>
      </c>
      <c r="O538" s="52">
        <f t="shared" si="214"/>
        <v>82000.709999999992</v>
      </c>
      <c r="P538" s="1">
        <f t="shared" si="215"/>
        <v>82000</v>
      </c>
    </row>
    <row r="539" spans="2:16" x14ac:dyDescent="0.25">
      <c r="B539" s="50" t="s">
        <v>2826</v>
      </c>
      <c r="C539" s="51" t="s">
        <v>2827</v>
      </c>
      <c r="D539" s="51" t="s">
        <v>2811</v>
      </c>
      <c r="E539" s="1">
        <v>43980</v>
      </c>
      <c r="F539" s="1">
        <v>0.1</v>
      </c>
      <c r="G539" s="1">
        <v>0.13</v>
      </c>
      <c r="H539" s="1">
        <f t="shared" si="209"/>
        <v>4398</v>
      </c>
      <c r="I539" s="52">
        <f t="shared" si="210"/>
        <v>6289.14</v>
      </c>
      <c r="J539" s="52">
        <f t="shared" si="211"/>
        <v>54667.14</v>
      </c>
      <c r="K539" s="53">
        <v>0.2</v>
      </c>
      <c r="L539" s="52">
        <f t="shared" si="212"/>
        <v>10933.428</v>
      </c>
      <c r="M539" s="52">
        <f t="shared" si="213"/>
        <v>65600.567999999999</v>
      </c>
      <c r="N539" s="53">
        <v>0.2</v>
      </c>
      <c r="O539" s="52">
        <f t="shared" si="214"/>
        <v>82000.709999999992</v>
      </c>
      <c r="P539" s="1">
        <f t="shared" si="215"/>
        <v>82000</v>
      </c>
    </row>
    <row r="540" spans="2:16" x14ac:dyDescent="0.25">
      <c r="B540" s="50" t="s">
        <v>2828</v>
      </c>
      <c r="C540" s="51" t="s">
        <v>2829</v>
      </c>
      <c r="D540" s="51" t="s">
        <v>2811</v>
      </c>
      <c r="E540" s="1">
        <v>28750</v>
      </c>
      <c r="F540" s="1">
        <v>0.1</v>
      </c>
      <c r="G540" s="1">
        <v>0.13</v>
      </c>
      <c r="H540" s="1">
        <f t="shared" si="209"/>
        <v>2875</v>
      </c>
      <c r="I540" s="52">
        <f t="shared" si="210"/>
        <v>4111.25</v>
      </c>
      <c r="J540" s="52">
        <f t="shared" si="211"/>
        <v>35736.25</v>
      </c>
      <c r="K540" s="53">
        <v>0.2</v>
      </c>
      <c r="L540" s="52">
        <f t="shared" si="212"/>
        <v>7147.25</v>
      </c>
      <c r="M540" s="52">
        <f t="shared" si="213"/>
        <v>42883.5</v>
      </c>
      <c r="N540" s="53">
        <v>0.2</v>
      </c>
      <c r="O540" s="52">
        <f t="shared" si="214"/>
        <v>53604.375</v>
      </c>
      <c r="P540" s="1">
        <f t="shared" si="215"/>
        <v>53600</v>
      </c>
    </row>
    <row r="541" spans="2:16" x14ac:dyDescent="0.25">
      <c r="B541" s="50" t="s">
        <v>2830</v>
      </c>
      <c r="C541" s="51" t="s">
        <v>2831</v>
      </c>
      <c r="D541" s="51" t="s">
        <v>2811</v>
      </c>
      <c r="E541" s="1">
        <v>28750</v>
      </c>
      <c r="F541" s="1">
        <v>0.1</v>
      </c>
      <c r="G541" s="1">
        <v>0.13</v>
      </c>
      <c r="H541" s="1">
        <f t="shared" si="209"/>
        <v>2875</v>
      </c>
      <c r="I541" s="52">
        <f t="shared" si="210"/>
        <v>4111.25</v>
      </c>
      <c r="J541" s="52">
        <f t="shared" si="211"/>
        <v>35736.25</v>
      </c>
      <c r="K541" s="53">
        <v>0.2</v>
      </c>
      <c r="L541" s="52">
        <f t="shared" si="212"/>
        <v>7147.25</v>
      </c>
      <c r="M541" s="52">
        <f t="shared" si="213"/>
        <v>42883.5</v>
      </c>
      <c r="N541" s="53">
        <v>0.2</v>
      </c>
      <c r="O541" s="52">
        <f t="shared" si="214"/>
        <v>53604.375</v>
      </c>
      <c r="P541" s="1">
        <f t="shared" si="215"/>
        <v>53600</v>
      </c>
    </row>
    <row r="542" spans="2:16" x14ac:dyDescent="0.25">
      <c r="B542" s="50" t="s">
        <v>2832</v>
      </c>
      <c r="C542" s="51" t="s">
        <v>2833</v>
      </c>
      <c r="D542" s="51" t="s">
        <v>2811</v>
      </c>
      <c r="E542" s="1">
        <v>40590</v>
      </c>
      <c r="F542" s="1">
        <v>0.1</v>
      </c>
      <c r="G542" s="1">
        <v>0.13</v>
      </c>
      <c r="H542" s="1">
        <f t="shared" si="209"/>
        <v>4059</v>
      </c>
      <c r="I542" s="52">
        <f t="shared" si="210"/>
        <v>5804.37</v>
      </c>
      <c r="J542" s="52">
        <f t="shared" si="211"/>
        <v>50453.37</v>
      </c>
      <c r="K542" s="53">
        <v>0.2</v>
      </c>
      <c r="L542" s="52">
        <f t="shared" si="212"/>
        <v>10090.674000000001</v>
      </c>
      <c r="M542" s="52">
        <f t="shared" si="213"/>
        <v>60544.044000000002</v>
      </c>
      <c r="N542" s="53">
        <v>0.2</v>
      </c>
      <c r="O542" s="52">
        <f t="shared" si="214"/>
        <v>75680.054999999993</v>
      </c>
      <c r="P542" s="1">
        <f t="shared" si="215"/>
        <v>75680</v>
      </c>
    </row>
    <row r="543" spans="2:16" x14ac:dyDescent="0.25">
      <c r="B543" s="50" t="s">
        <v>2834</v>
      </c>
      <c r="C543" s="51" t="s">
        <v>2835</v>
      </c>
      <c r="D543" s="51" t="s">
        <v>2811</v>
      </c>
      <c r="E543" s="1">
        <v>40590</v>
      </c>
      <c r="F543" s="1">
        <v>0.1</v>
      </c>
      <c r="G543" s="1">
        <v>0.13</v>
      </c>
      <c r="H543" s="1">
        <f t="shared" si="209"/>
        <v>4059</v>
      </c>
      <c r="I543" s="52">
        <f t="shared" si="210"/>
        <v>5804.37</v>
      </c>
      <c r="J543" s="52">
        <f t="shared" si="211"/>
        <v>50453.37</v>
      </c>
      <c r="K543" s="53">
        <v>0.2</v>
      </c>
      <c r="L543" s="52">
        <f t="shared" si="212"/>
        <v>10090.674000000001</v>
      </c>
      <c r="M543" s="52">
        <f t="shared" si="213"/>
        <v>60544.044000000002</v>
      </c>
      <c r="N543" s="53">
        <v>0.2</v>
      </c>
      <c r="O543" s="52">
        <f t="shared" si="214"/>
        <v>75680.054999999993</v>
      </c>
      <c r="P543" s="1">
        <f t="shared" si="215"/>
        <v>75680</v>
      </c>
    </row>
    <row r="544" spans="2:16" x14ac:dyDescent="0.25">
      <c r="B544" s="125" t="s">
        <v>2836</v>
      </c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</row>
    <row r="545" spans="2:16" x14ac:dyDescent="0.25">
      <c r="B545" s="50" t="s">
        <v>2837</v>
      </c>
      <c r="C545" s="51" t="s">
        <v>2838</v>
      </c>
      <c r="D545" s="51" t="s">
        <v>2836</v>
      </c>
      <c r="E545" s="1">
        <v>12810</v>
      </c>
      <c r="F545" s="1">
        <v>0.05</v>
      </c>
      <c r="G545" s="1">
        <v>0.13</v>
      </c>
      <c r="H545" s="1">
        <f t="shared" ref="H545:H552" si="216">F545*E545</f>
        <v>640.5</v>
      </c>
      <c r="I545" s="52">
        <f t="shared" ref="I545:I552" si="217">G545*(E545+H545)</f>
        <v>1748.5650000000001</v>
      </c>
      <c r="J545" s="52">
        <f t="shared" ref="J545:J552" si="218">E545+H545+I545</f>
        <v>15199.065000000001</v>
      </c>
      <c r="K545" s="53">
        <v>0.15</v>
      </c>
      <c r="L545" s="52">
        <f t="shared" ref="L545:L552" si="219">J545*K545</f>
        <v>2279.8597500000001</v>
      </c>
      <c r="M545" s="52">
        <f t="shared" ref="M545:M552" si="220">J545+L545</f>
        <v>17478.924750000002</v>
      </c>
      <c r="N545" s="53">
        <v>0.2</v>
      </c>
      <c r="O545" s="52">
        <f t="shared" ref="O545:O552" si="221">$M545/(1-N545)</f>
        <v>21848.6559375</v>
      </c>
      <c r="P545" s="1">
        <f t="shared" ref="P545:P552" si="222">MROUND(O545,10)</f>
        <v>21850</v>
      </c>
    </row>
    <row r="546" spans="2:16" x14ac:dyDescent="0.25">
      <c r="B546" s="50" t="s">
        <v>2839</v>
      </c>
      <c r="C546" s="51" t="s">
        <v>2840</v>
      </c>
      <c r="D546" s="51" t="s">
        <v>2836</v>
      </c>
      <c r="E546" s="1">
        <v>13090</v>
      </c>
      <c r="F546" s="1">
        <v>0.05</v>
      </c>
      <c r="G546" s="1">
        <v>0.13</v>
      </c>
      <c r="H546" s="1">
        <f t="shared" si="216"/>
        <v>654.5</v>
      </c>
      <c r="I546" s="52">
        <f t="shared" si="217"/>
        <v>1786.7850000000001</v>
      </c>
      <c r="J546" s="52">
        <f t="shared" si="218"/>
        <v>15531.285</v>
      </c>
      <c r="K546" s="53">
        <v>0.15</v>
      </c>
      <c r="L546" s="52">
        <f t="shared" si="219"/>
        <v>2329.6927499999997</v>
      </c>
      <c r="M546" s="52">
        <f t="shared" si="220"/>
        <v>17860.977749999998</v>
      </c>
      <c r="N546" s="53">
        <v>0.2</v>
      </c>
      <c r="O546" s="52">
        <f t="shared" si="221"/>
        <v>22326.222187499996</v>
      </c>
      <c r="P546" s="1">
        <f t="shared" si="222"/>
        <v>22330</v>
      </c>
    </row>
    <row r="547" spans="2:16" x14ac:dyDescent="0.25">
      <c r="B547" s="50" t="s">
        <v>2841</v>
      </c>
      <c r="C547" s="51" t="s">
        <v>2842</v>
      </c>
      <c r="D547" s="51" t="s">
        <v>2836</v>
      </c>
      <c r="E547" s="1">
        <v>9540</v>
      </c>
      <c r="F547" s="1">
        <v>0.05</v>
      </c>
      <c r="G547" s="1">
        <v>0.13</v>
      </c>
      <c r="H547" s="1">
        <f t="shared" si="216"/>
        <v>477</v>
      </c>
      <c r="I547" s="52">
        <f t="shared" si="217"/>
        <v>1302.21</v>
      </c>
      <c r="J547" s="52">
        <f t="shared" si="218"/>
        <v>11319.21</v>
      </c>
      <c r="K547" s="53">
        <v>0.15</v>
      </c>
      <c r="L547" s="52">
        <f t="shared" si="219"/>
        <v>1697.8814999999997</v>
      </c>
      <c r="M547" s="52">
        <f t="shared" si="220"/>
        <v>13017.091499999999</v>
      </c>
      <c r="N547" s="53">
        <v>0.2</v>
      </c>
      <c r="O547" s="52">
        <f t="shared" si="221"/>
        <v>16271.364374999997</v>
      </c>
      <c r="P547" s="1">
        <f t="shared" si="222"/>
        <v>16270</v>
      </c>
    </row>
    <row r="548" spans="2:16" x14ac:dyDescent="0.25">
      <c r="B548" s="50" t="s">
        <v>2843</v>
      </c>
      <c r="C548" s="51" t="s">
        <v>2844</v>
      </c>
      <c r="D548" s="51" t="s">
        <v>2836</v>
      </c>
      <c r="E548" s="1">
        <v>9540</v>
      </c>
      <c r="F548" s="1">
        <v>0.05</v>
      </c>
      <c r="G548" s="1">
        <v>0.13</v>
      </c>
      <c r="H548" s="1">
        <f t="shared" si="216"/>
        <v>477</v>
      </c>
      <c r="I548" s="52">
        <f t="shared" si="217"/>
        <v>1302.21</v>
      </c>
      <c r="J548" s="52">
        <f t="shared" si="218"/>
        <v>11319.21</v>
      </c>
      <c r="K548" s="53">
        <v>0.15</v>
      </c>
      <c r="L548" s="52">
        <f t="shared" si="219"/>
        <v>1697.8814999999997</v>
      </c>
      <c r="M548" s="52">
        <f t="shared" si="220"/>
        <v>13017.091499999999</v>
      </c>
      <c r="N548" s="53">
        <v>0.2</v>
      </c>
      <c r="O548" s="52">
        <f t="shared" si="221"/>
        <v>16271.364374999997</v>
      </c>
      <c r="P548" s="1">
        <f t="shared" si="222"/>
        <v>16270</v>
      </c>
    </row>
    <row r="549" spans="2:16" x14ac:dyDescent="0.25">
      <c r="B549" s="50" t="s">
        <v>2845</v>
      </c>
      <c r="C549" s="51" t="s">
        <v>2846</v>
      </c>
      <c r="D549" s="51" t="s">
        <v>2836</v>
      </c>
      <c r="E549" s="1">
        <v>5430</v>
      </c>
      <c r="F549" s="1">
        <v>0.05</v>
      </c>
      <c r="G549" s="1">
        <v>0.13</v>
      </c>
      <c r="H549" s="1">
        <f t="shared" si="216"/>
        <v>271.5</v>
      </c>
      <c r="I549" s="52">
        <f t="shared" si="217"/>
        <v>741.19500000000005</v>
      </c>
      <c r="J549" s="52">
        <f t="shared" si="218"/>
        <v>6442.6949999999997</v>
      </c>
      <c r="K549" s="53">
        <v>0.15</v>
      </c>
      <c r="L549" s="52">
        <f t="shared" si="219"/>
        <v>966.40424999999993</v>
      </c>
      <c r="M549" s="52">
        <f t="shared" si="220"/>
        <v>7409.0992499999993</v>
      </c>
      <c r="N549" s="53">
        <v>0.2</v>
      </c>
      <c r="O549" s="52">
        <f t="shared" si="221"/>
        <v>9261.3740624999991</v>
      </c>
      <c r="P549" s="1">
        <f t="shared" si="222"/>
        <v>9260</v>
      </c>
    </row>
    <row r="550" spans="2:16" x14ac:dyDescent="0.25">
      <c r="B550" s="50" t="s">
        <v>2847</v>
      </c>
      <c r="C550" s="51" t="s">
        <v>2848</v>
      </c>
      <c r="D550" s="51" t="s">
        <v>2836</v>
      </c>
      <c r="E550" s="1">
        <v>6930</v>
      </c>
      <c r="F550" s="1">
        <v>0.05</v>
      </c>
      <c r="G550" s="1">
        <v>0.13</v>
      </c>
      <c r="H550" s="1">
        <f t="shared" si="216"/>
        <v>346.5</v>
      </c>
      <c r="I550" s="52">
        <f t="shared" si="217"/>
        <v>945.94500000000005</v>
      </c>
      <c r="J550" s="52">
        <f t="shared" si="218"/>
        <v>8222.4449999999997</v>
      </c>
      <c r="K550" s="53">
        <v>0.15</v>
      </c>
      <c r="L550" s="52">
        <f t="shared" si="219"/>
        <v>1233.3667499999999</v>
      </c>
      <c r="M550" s="52">
        <f t="shared" si="220"/>
        <v>9455.8117499999989</v>
      </c>
      <c r="N550" s="53">
        <v>0.2</v>
      </c>
      <c r="O550" s="52">
        <f t="shared" si="221"/>
        <v>11819.764687499997</v>
      </c>
      <c r="P550" s="1">
        <f t="shared" si="222"/>
        <v>11820</v>
      </c>
    </row>
    <row r="551" spans="2:16" x14ac:dyDescent="0.25">
      <c r="B551" s="50" t="s">
        <v>2849</v>
      </c>
      <c r="C551" s="51" t="s">
        <v>2850</v>
      </c>
      <c r="D551" s="51" t="s">
        <v>2836</v>
      </c>
      <c r="E551" s="1">
        <v>5700</v>
      </c>
      <c r="F551" s="1">
        <v>0.05</v>
      </c>
      <c r="G551" s="1">
        <v>0.13</v>
      </c>
      <c r="H551" s="1">
        <f t="shared" si="216"/>
        <v>285</v>
      </c>
      <c r="I551" s="52">
        <f t="shared" si="217"/>
        <v>778.05000000000007</v>
      </c>
      <c r="J551" s="52">
        <f t="shared" si="218"/>
        <v>6763.05</v>
      </c>
      <c r="K551" s="53">
        <v>0.15</v>
      </c>
      <c r="L551" s="52">
        <f t="shared" si="219"/>
        <v>1014.4575</v>
      </c>
      <c r="M551" s="52">
        <f t="shared" si="220"/>
        <v>7777.5074999999997</v>
      </c>
      <c r="N551" s="53">
        <v>0.2</v>
      </c>
      <c r="O551" s="52">
        <f t="shared" si="221"/>
        <v>9721.8843749999996</v>
      </c>
      <c r="P551" s="1">
        <f t="shared" si="222"/>
        <v>9720</v>
      </c>
    </row>
    <row r="552" spans="2:16" x14ac:dyDescent="0.25">
      <c r="B552" s="50" t="s">
        <v>2851</v>
      </c>
      <c r="C552" s="51" t="s">
        <v>2852</v>
      </c>
      <c r="D552" s="51" t="s">
        <v>2836</v>
      </c>
      <c r="E552" s="1">
        <v>7150</v>
      </c>
      <c r="F552" s="1">
        <v>0.05</v>
      </c>
      <c r="G552" s="1">
        <v>0.13</v>
      </c>
      <c r="H552" s="1">
        <f t="shared" si="216"/>
        <v>357.5</v>
      </c>
      <c r="I552" s="52">
        <f t="shared" si="217"/>
        <v>975.97500000000002</v>
      </c>
      <c r="J552" s="52">
        <f t="shared" si="218"/>
        <v>8483.4750000000004</v>
      </c>
      <c r="K552" s="53">
        <v>0.15</v>
      </c>
      <c r="L552" s="52">
        <f t="shared" si="219"/>
        <v>1272.52125</v>
      </c>
      <c r="M552" s="52">
        <f t="shared" si="220"/>
        <v>9755.9962500000001</v>
      </c>
      <c r="N552" s="53">
        <v>0.2</v>
      </c>
      <c r="O552" s="52">
        <f t="shared" si="221"/>
        <v>12194.995312499999</v>
      </c>
      <c r="P552" s="1">
        <f t="shared" si="222"/>
        <v>12190</v>
      </c>
    </row>
  </sheetData>
  <mergeCells count="49">
    <mergeCell ref="B544:P544"/>
    <mergeCell ref="B461:P461"/>
    <mergeCell ref="B463:P463"/>
    <mergeCell ref="B472:P472"/>
    <mergeCell ref="B481:P481"/>
    <mergeCell ref="B490:P490"/>
    <mergeCell ref="B519:P519"/>
    <mergeCell ref="B524:P524"/>
    <mergeCell ref="B531:P531"/>
    <mergeCell ref="B102:P102"/>
    <mergeCell ref="B106:P106"/>
    <mergeCell ref="B109:P109"/>
    <mergeCell ref="B113:P113"/>
    <mergeCell ref="B124:P124"/>
    <mergeCell ref="B28:P28"/>
    <mergeCell ref="B56:P56"/>
    <mergeCell ref="B76:P76"/>
    <mergeCell ref="B2:Q2"/>
    <mergeCell ref="B3:Q3"/>
    <mergeCell ref="B134:P134"/>
    <mergeCell ref="B143:P143"/>
    <mergeCell ref="B157:P157"/>
    <mergeCell ref="B172:P172"/>
    <mergeCell ref="B263:P263"/>
    <mergeCell ref="B183:P183"/>
    <mergeCell ref="B194:P194"/>
    <mergeCell ref="B209:P209"/>
    <mergeCell ref="B226:P226"/>
    <mergeCell ref="B243:P243"/>
    <mergeCell ref="B279:P279"/>
    <mergeCell ref="B298:P298"/>
    <mergeCell ref="B312:P312"/>
    <mergeCell ref="B439:P439"/>
    <mergeCell ref="B444:P444"/>
    <mergeCell ref="B330:P330"/>
    <mergeCell ref="B350:P350"/>
    <mergeCell ref="B374:P374"/>
    <mergeCell ref="B395:P395"/>
    <mergeCell ref="B400:P400"/>
    <mergeCell ref="B414:P414"/>
    <mergeCell ref="B426:P426"/>
    <mergeCell ref="B430:P430"/>
    <mergeCell ref="B433:P433"/>
    <mergeCell ref="B436:P436"/>
    <mergeCell ref="B449:P449"/>
    <mergeCell ref="B454:P454"/>
    <mergeCell ref="B501:P501"/>
    <mergeCell ref="B511:P511"/>
    <mergeCell ref="B514:P514"/>
  </mergeCells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B1:B2"/>
  <sheetViews>
    <sheetView workbookViewId="0">
      <selection activeCell="G272" sqref="G272"/>
    </sheetView>
  </sheetViews>
  <sheetFormatPr defaultRowHeight="15" x14ac:dyDescent="0.25"/>
  <sheetData>
    <row r="1" spans="2:2" x14ac:dyDescent="0.25">
      <c r="B1">
        <v>9990</v>
      </c>
    </row>
    <row r="2" spans="2:2" x14ac:dyDescent="0.25">
      <c r="B2">
        <v>2540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E2"/>
  <sheetViews>
    <sheetView workbookViewId="0">
      <selection activeCell="G272" sqref="G272"/>
    </sheetView>
  </sheetViews>
  <sheetFormatPr defaultRowHeight="15" x14ac:dyDescent="0.25"/>
  <cols>
    <col min="1" max="1" width="8.5703125" customWidth="1"/>
    <col min="2" max="2" width="9" customWidth="1"/>
  </cols>
  <sheetData>
    <row r="2" spans="5:5" x14ac:dyDescent="0.25">
      <c r="E2">
        <v>9990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K54"/>
  <sheetViews>
    <sheetView zoomScale="85" zoomScaleNormal="85" workbookViewId="0">
      <selection activeCell="G272" sqref="G272"/>
    </sheetView>
  </sheetViews>
  <sheetFormatPr defaultRowHeight="15" x14ac:dyDescent="0.25"/>
  <cols>
    <col min="1" max="1" width="36.85546875" customWidth="1"/>
    <col min="2" max="2" width="15.7109375" bestFit="1" customWidth="1"/>
    <col min="10" max="10" width="18.5703125" customWidth="1"/>
    <col min="11" max="11" width="15.7109375" bestFit="1" customWidth="1"/>
  </cols>
  <sheetData>
    <row r="1" spans="1:11" ht="18.75" x14ac:dyDescent="0.3">
      <c r="A1" s="61" t="s">
        <v>2853</v>
      </c>
      <c r="B1" s="61" t="s">
        <v>2854</v>
      </c>
      <c r="J1" s="62" t="s">
        <v>2855</v>
      </c>
      <c r="K1" s="62">
        <v>9861024765</v>
      </c>
    </row>
    <row r="2" spans="1:11" ht="18.75" x14ac:dyDescent="0.3">
      <c r="A2" s="62" t="s">
        <v>2856</v>
      </c>
      <c r="B2" s="62">
        <v>9841511785</v>
      </c>
      <c r="J2" s="62" t="s">
        <v>2857</v>
      </c>
      <c r="K2" s="62">
        <v>9741470293</v>
      </c>
    </row>
    <row r="3" spans="1:11" ht="18.75" x14ac:dyDescent="0.3">
      <c r="A3" s="62" t="s">
        <v>2858</v>
      </c>
      <c r="B3" s="62">
        <v>9841786637</v>
      </c>
      <c r="J3" s="62" t="s">
        <v>2859</v>
      </c>
      <c r="K3" s="62">
        <v>9841907498</v>
      </c>
    </row>
    <row r="4" spans="1:11" ht="18.75" x14ac:dyDescent="0.3">
      <c r="A4" s="62" t="s">
        <v>2860</v>
      </c>
      <c r="B4" s="62">
        <v>9803575598</v>
      </c>
      <c r="J4" s="62" t="s">
        <v>2861</v>
      </c>
      <c r="K4" s="62">
        <v>9841471526</v>
      </c>
    </row>
    <row r="5" spans="1:11" ht="18.75" x14ac:dyDescent="0.3">
      <c r="A5" s="62" t="s">
        <v>2862</v>
      </c>
      <c r="B5" s="62">
        <v>9841433416</v>
      </c>
      <c r="J5" s="62" t="s">
        <v>2863</v>
      </c>
      <c r="K5" s="62">
        <v>9851058830</v>
      </c>
    </row>
    <row r="6" spans="1:11" ht="18.75" x14ac:dyDescent="0.3">
      <c r="A6" s="62" t="s">
        <v>2864</v>
      </c>
      <c r="B6" s="62">
        <v>9841834335</v>
      </c>
      <c r="J6" s="62" t="s">
        <v>2865</v>
      </c>
      <c r="K6" s="62">
        <v>9841365614</v>
      </c>
    </row>
    <row r="7" spans="1:11" ht="18.75" x14ac:dyDescent="0.3">
      <c r="A7" s="62" t="s">
        <v>2866</v>
      </c>
      <c r="B7" s="62">
        <v>9845915826</v>
      </c>
      <c r="J7" s="62" t="s">
        <v>2867</v>
      </c>
      <c r="K7" s="62">
        <v>9860813213</v>
      </c>
    </row>
    <row r="8" spans="1:11" ht="18.75" x14ac:dyDescent="0.3">
      <c r="A8" s="62" t="s">
        <v>2868</v>
      </c>
      <c r="B8" s="62">
        <v>9840125584</v>
      </c>
      <c r="J8" s="62" t="s">
        <v>2869</v>
      </c>
      <c r="K8" s="62">
        <v>9841219496</v>
      </c>
    </row>
    <row r="9" spans="1:11" ht="18.75" x14ac:dyDescent="0.3">
      <c r="A9" s="62" t="s">
        <v>2855</v>
      </c>
      <c r="B9" s="62">
        <v>9861024765</v>
      </c>
      <c r="J9" s="62" t="s">
        <v>2870</v>
      </c>
      <c r="K9" s="62">
        <v>9843141045</v>
      </c>
    </row>
    <row r="10" spans="1:11" ht="18.75" x14ac:dyDescent="0.3">
      <c r="A10" s="62" t="s">
        <v>2857</v>
      </c>
      <c r="B10" s="62">
        <v>9741470293</v>
      </c>
      <c r="J10" s="62" t="s">
        <v>2871</v>
      </c>
      <c r="K10" s="62">
        <v>9851063076</v>
      </c>
    </row>
    <row r="11" spans="1:11" ht="18.75" x14ac:dyDescent="0.3">
      <c r="A11" s="62" t="s">
        <v>2872</v>
      </c>
      <c r="B11" s="62">
        <v>9843907066</v>
      </c>
      <c r="J11" s="62" t="s">
        <v>2873</v>
      </c>
      <c r="K11" s="62">
        <v>9808346072</v>
      </c>
    </row>
    <row r="12" spans="1:11" ht="18.75" x14ac:dyDescent="0.3">
      <c r="A12" s="62" t="s">
        <v>2874</v>
      </c>
      <c r="B12" s="62">
        <v>9841828757</v>
      </c>
      <c r="J12" s="62" t="s">
        <v>2875</v>
      </c>
      <c r="K12" s="62">
        <v>9851089876</v>
      </c>
    </row>
    <row r="13" spans="1:11" ht="18.75" x14ac:dyDescent="0.3">
      <c r="A13" s="62" t="s">
        <v>2876</v>
      </c>
      <c r="B13" s="62">
        <v>9841010503</v>
      </c>
    </row>
    <row r="14" spans="1:11" ht="18.75" x14ac:dyDescent="0.3">
      <c r="A14" s="62" t="s">
        <v>2859</v>
      </c>
      <c r="B14" s="62">
        <v>9841907498</v>
      </c>
    </row>
    <row r="15" spans="1:11" ht="18.75" x14ac:dyDescent="0.3">
      <c r="A15" s="62" t="s">
        <v>2877</v>
      </c>
      <c r="B15" s="62">
        <v>9860997691</v>
      </c>
    </row>
    <row r="16" spans="1:11" ht="18.75" x14ac:dyDescent="0.3">
      <c r="A16" s="62" t="s">
        <v>2878</v>
      </c>
      <c r="B16" s="62">
        <v>9841935380</v>
      </c>
    </row>
    <row r="17" spans="1:2" ht="18.75" x14ac:dyDescent="0.3">
      <c r="A17" s="62" t="s">
        <v>2879</v>
      </c>
      <c r="B17" s="62">
        <v>9818701617</v>
      </c>
    </row>
    <row r="18" spans="1:2" ht="18.75" x14ac:dyDescent="0.3">
      <c r="A18" s="62" t="s">
        <v>2880</v>
      </c>
      <c r="B18" s="62">
        <v>9841371752</v>
      </c>
    </row>
    <row r="19" spans="1:2" ht="18.75" x14ac:dyDescent="0.3">
      <c r="A19" s="62" t="s">
        <v>2881</v>
      </c>
      <c r="B19" s="62">
        <v>9803800176</v>
      </c>
    </row>
    <row r="20" spans="1:2" ht="18.75" x14ac:dyDescent="0.3">
      <c r="A20" s="62" t="s">
        <v>2861</v>
      </c>
      <c r="B20" s="62">
        <v>9841471526</v>
      </c>
    </row>
    <row r="21" spans="1:2" ht="18.75" x14ac:dyDescent="0.3">
      <c r="A21" s="62" t="s">
        <v>2863</v>
      </c>
      <c r="B21" s="62">
        <v>9851058830</v>
      </c>
    </row>
    <row r="22" spans="1:2" ht="18.75" x14ac:dyDescent="0.3">
      <c r="A22" s="62" t="s">
        <v>2882</v>
      </c>
      <c r="B22" s="62">
        <v>9841723121</v>
      </c>
    </row>
    <row r="23" spans="1:2" ht="18.75" x14ac:dyDescent="0.3">
      <c r="A23" s="62" t="s">
        <v>2883</v>
      </c>
      <c r="B23" s="62">
        <v>9803169614</v>
      </c>
    </row>
    <row r="24" spans="1:2" ht="18.75" x14ac:dyDescent="0.3">
      <c r="A24" s="62" t="s">
        <v>2884</v>
      </c>
      <c r="B24" s="62">
        <v>9851187993</v>
      </c>
    </row>
    <row r="25" spans="1:2" ht="18.75" x14ac:dyDescent="0.3">
      <c r="A25" s="62" t="s">
        <v>2885</v>
      </c>
      <c r="B25" s="62">
        <v>9843125350</v>
      </c>
    </row>
    <row r="26" spans="1:2" ht="18.75" x14ac:dyDescent="0.3">
      <c r="A26" s="62" t="s">
        <v>2886</v>
      </c>
      <c r="B26" s="62">
        <v>9808421855</v>
      </c>
    </row>
    <row r="27" spans="1:2" ht="18.75" x14ac:dyDescent="0.3">
      <c r="A27" s="62" t="s">
        <v>2887</v>
      </c>
      <c r="B27" s="62">
        <v>9823377825</v>
      </c>
    </row>
    <row r="28" spans="1:2" ht="18.75" x14ac:dyDescent="0.3">
      <c r="A28" s="62" t="s">
        <v>2888</v>
      </c>
      <c r="B28" s="62">
        <v>9808109514</v>
      </c>
    </row>
    <row r="29" spans="1:2" ht="18.75" x14ac:dyDescent="0.3">
      <c r="A29" s="62" t="s">
        <v>2889</v>
      </c>
      <c r="B29" s="62">
        <v>9851196516</v>
      </c>
    </row>
    <row r="30" spans="1:2" ht="18.75" x14ac:dyDescent="0.3">
      <c r="A30" s="62" t="s">
        <v>2890</v>
      </c>
      <c r="B30" s="62">
        <v>9803529269</v>
      </c>
    </row>
    <row r="31" spans="1:2" ht="18.75" x14ac:dyDescent="0.3">
      <c r="A31" s="62" t="s">
        <v>2891</v>
      </c>
      <c r="B31" s="62">
        <v>9863022429</v>
      </c>
    </row>
    <row r="32" spans="1:2" ht="18.75" x14ac:dyDescent="0.3">
      <c r="A32" s="62" t="s">
        <v>2865</v>
      </c>
      <c r="B32" s="62">
        <v>9841365614</v>
      </c>
    </row>
    <row r="33" spans="1:2" ht="18.75" x14ac:dyDescent="0.3">
      <c r="A33" s="62" t="s">
        <v>2867</v>
      </c>
      <c r="B33" s="62">
        <v>9860813213</v>
      </c>
    </row>
    <row r="34" spans="1:2" ht="18.75" x14ac:dyDescent="0.3">
      <c r="A34" s="62" t="s">
        <v>2892</v>
      </c>
      <c r="B34" s="62">
        <v>9840155807</v>
      </c>
    </row>
    <row r="35" spans="1:2" ht="18.75" x14ac:dyDescent="0.3">
      <c r="A35" s="62" t="s">
        <v>2893</v>
      </c>
      <c r="B35" s="62">
        <v>9860731673</v>
      </c>
    </row>
    <row r="36" spans="1:2" ht="18.75" x14ac:dyDescent="0.3">
      <c r="A36" s="62" t="s">
        <v>2894</v>
      </c>
      <c r="B36" s="62">
        <v>9803364284</v>
      </c>
    </row>
    <row r="37" spans="1:2" ht="18.75" x14ac:dyDescent="0.3">
      <c r="A37" s="62" t="s">
        <v>2895</v>
      </c>
      <c r="B37" s="62">
        <v>9851089876</v>
      </c>
    </row>
    <row r="38" spans="1:2" ht="18.75" x14ac:dyDescent="0.3">
      <c r="A38" s="62" t="s">
        <v>2896</v>
      </c>
      <c r="B38" s="62">
        <v>9841511692</v>
      </c>
    </row>
    <row r="39" spans="1:2" ht="18.75" x14ac:dyDescent="0.3">
      <c r="A39" s="62" t="s">
        <v>2869</v>
      </c>
      <c r="B39" s="62">
        <v>9841219496</v>
      </c>
    </row>
    <row r="40" spans="1:2" ht="18.75" x14ac:dyDescent="0.3">
      <c r="A40" s="62" t="s">
        <v>2870</v>
      </c>
      <c r="B40" s="62">
        <v>9843141045</v>
      </c>
    </row>
    <row r="41" spans="1:2" ht="18.75" x14ac:dyDescent="0.3">
      <c r="A41" s="62" t="s">
        <v>2897</v>
      </c>
      <c r="B41" s="62">
        <v>9851108220</v>
      </c>
    </row>
    <row r="42" spans="1:2" ht="18.75" x14ac:dyDescent="0.3">
      <c r="A42" s="62" t="s">
        <v>2871</v>
      </c>
      <c r="B42" s="62">
        <v>9851063076</v>
      </c>
    </row>
    <row r="43" spans="1:2" ht="18.75" x14ac:dyDescent="0.3">
      <c r="A43" s="62" t="s">
        <v>2873</v>
      </c>
      <c r="B43" s="62">
        <v>9808346072</v>
      </c>
    </row>
    <row r="44" spans="1:2" ht="18.75" x14ac:dyDescent="0.3">
      <c r="A44" s="62" t="s">
        <v>2898</v>
      </c>
      <c r="B44" s="62">
        <v>9851230564</v>
      </c>
    </row>
    <row r="45" spans="1:2" ht="18.75" x14ac:dyDescent="0.3">
      <c r="A45" s="62" t="s">
        <v>2899</v>
      </c>
      <c r="B45" s="62">
        <v>9813160772</v>
      </c>
    </row>
    <row r="46" spans="1:2" ht="18.75" x14ac:dyDescent="0.3">
      <c r="A46" s="62" t="s">
        <v>2900</v>
      </c>
      <c r="B46" s="62">
        <v>9843752539</v>
      </c>
    </row>
    <row r="47" spans="1:2" ht="18.75" x14ac:dyDescent="0.3">
      <c r="A47" s="62" t="s">
        <v>2901</v>
      </c>
      <c r="B47" s="62">
        <v>9840118350</v>
      </c>
    </row>
    <row r="48" spans="1:2" ht="18.75" x14ac:dyDescent="0.3">
      <c r="A48" s="62" t="s">
        <v>2902</v>
      </c>
      <c r="B48" s="62">
        <v>9860881051</v>
      </c>
    </row>
    <row r="49" spans="1:2" ht="18.75" x14ac:dyDescent="0.3">
      <c r="A49" s="62" t="s">
        <v>2903</v>
      </c>
      <c r="B49" s="62">
        <v>9803820171</v>
      </c>
    </row>
    <row r="50" spans="1:2" ht="18.75" x14ac:dyDescent="0.3">
      <c r="A50" s="62" t="s">
        <v>2904</v>
      </c>
      <c r="B50" s="62">
        <v>9849408143</v>
      </c>
    </row>
    <row r="51" spans="1:2" ht="18.75" x14ac:dyDescent="0.3">
      <c r="A51" s="62" t="s">
        <v>2905</v>
      </c>
      <c r="B51" s="62">
        <v>9849030861</v>
      </c>
    </row>
    <row r="52" spans="1:2" ht="18.75" x14ac:dyDescent="0.3">
      <c r="A52" s="62" t="s">
        <v>2906</v>
      </c>
      <c r="B52" s="62">
        <v>9866998699</v>
      </c>
    </row>
    <row r="53" spans="1:2" ht="18.75" x14ac:dyDescent="0.3">
      <c r="A53" s="62" t="s">
        <v>2907</v>
      </c>
      <c r="B53" s="62">
        <v>9803565726</v>
      </c>
    </row>
    <row r="54" spans="1:2" ht="18.75" x14ac:dyDescent="0.3">
      <c r="A54" s="62" t="s">
        <v>2908</v>
      </c>
      <c r="B54" s="62">
        <v>9813028209</v>
      </c>
    </row>
  </sheetData>
  <autoFilter ref="A1:B54" xr:uid="{00000000-0009-0000-0000-00008A000000}"/>
  <pageMargins left="0.7" right="0.7" top="0.75" bottom="0.75" header="0.3" footer="0.3"/>
  <pageSetup orientation="portrait" horizontalDpi="0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205"/>
  <sheetViews>
    <sheetView topLeftCell="A33" workbookViewId="0">
      <selection activeCell="G272" sqref="G272"/>
    </sheetView>
  </sheetViews>
  <sheetFormatPr defaultRowHeight="15" x14ac:dyDescent="0.25"/>
  <cols>
    <col min="1" max="1" width="42.28515625" bestFit="1" customWidth="1"/>
  </cols>
  <sheetData>
    <row r="1" spans="1:4" ht="15.75" thickBot="1" x14ac:dyDescent="0.3">
      <c r="A1" s="64" t="s">
        <v>981</v>
      </c>
      <c r="B1" s="64"/>
      <c r="C1" s="64" t="s">
        <v>509</v>
      </c>
      <c r="D1" s="65">
        <v>3</v>
      </c>
    </row>
    <row r="2" spans="1:4" ht="15.75" thickBot="1" x14ac:dyDescent="0.3">
      <c r="A2" s="64" t="s">
        <v>975</v>
      </c>
      <c r="B2" s="64"/>
      <c r="C2" s="64" t="s">
        <v>509</v>
      </c>
      <c r="D2" s="65">
        <v>3</v>
      </c>
    </row>
    <row r="3" spans="1:4" ht="15.75" thickBot="1" x14ac:dyDescent="0.3">
      <c r="A3" s="64" t="s">
        <v>996</v>
      </c>
      <c r="B3" s="64"/>
      <c r="C3" s="64" t="s">
        <v>509</v>
      </c>
      <c r="D3" s="65">
        <v>2</v>
      </c>
    </row>
    <row r="4" spans="1:4" ht="15.75" thickBot="1" x14ac:dyDescent="0.3">
      <c r="A4" s="64" t="s">
        <v>1268</v>
      </c>
      <c r="B4" s="64"/>
      <c r="C4" s="64" t="s">
        <v>509</v>
      </c>
      <c r="D4" s="65">
        <v>1</v>
      </c>
    </row>
    <row r="5" spans="1:4" ht="15.75" thickBot="1" x14ac:dyDescent="0.3">
      <c r="A5" s="64" t="s">
        <v>1339</v>
      </c>
      <c r="B5" s="64"/>
      <c r="C5" s="64" t="s">
        <v>509</v>
      </c>
      <c r="D5" s="65">
        <v>1</v>
      </c>
    </row>
    <row r="6" spans="1:4" ht="15.75" thickBot="1" x14ac:dyDescent="0.3">
      <c r="A6" s="64" t="s">
        <v>708</v>
      </c>
      <c r="B6" s="64"/>
      <c r="C6" s="64" t="s">
        <v>509</v>
      </c>
      <c r="D6" s="65">
        <v>3</v>
      </c>
    </row>
    <row r="7" spans="1:4" ht="15.75" thickBot="1" x14ac:dyDescent="0.3">
      <c r="A7" s="64" t="s">
        <v>1264</v>
      </c>
      <c r="B7" s="64"/>
      <c r="C7" s="64" t="s">
        <v>509</v>
      </c>
      <c r="D7" s="65">
        <v>1</v>
      </c>
    </row>
    <row r="8" spans="1:4" ht="15.75" thickBot="1" x14ac:dyDescent="0.3">
      <c r="A8" s="64" t="s">
        <v>508</v>
      </c>
      <c r="B8" s="64"/>
      <c r="C8" s="64" t="s">
        <v>509</v>
      </c>
      <c r="D8" s="65">
        <v>1</v>
      </c>
    </row>
    <row r="9" spans="1:4" ht="15.75" thickBot="1" x14ac:dyDescent="0.3">
      <c r="A9" s="64" t="s">
        <v>1339</v>
      </c>
      <c r="B9" s="64"/>
      <c r="C9" s="64" t="s">
        <v>509</v>
      </c>
      <c r="D9" s="65">
        <v>4</v>
      </c>
    </row>
    <row r="10" spans="1:4" ht="15.75" thickBot="1" x14ac:dyDescent="0.3">
      <c r="A10" s="64" t="s">
        <v>1330</v>
      </c>
      <c r="B10" s="64"/>
      <c r="C10" s="64" t="s">
        <v>509</v>
      </c>
      <c r="D10" s="65">
        <v>7</v>
      </c>
    </row>
    <row r="11" spans="1:4" ht="15.75" thickBot="1" x14ac:dyDescent="0.3">
      <c r="A11" s="64" t="s">
        <v>1585</v>
      </c>
      <c r="B11" s="64"/>
      <c r="C11" s="64" t="s">
        <v>509</v>
      </c>
      <c r="D11" s="65">
        <v>4</v>
      </c>
    </row>
    <row r="12" spans="1:4" ht="15.75" thickBot="1" x14ac:dyDescent="0.3">
      <c r="A12" s="64" t="s">
        <v>1320</v>
      </c>
      <c r="B12" s="64"/>
      <c r="C12" s="64" t="s">
        <v>509</v>
      </c>
      <c r="D12" s="65">
        <v>3</v>
      </c>
    </row>
    <row r="13" spans="1:4" ht="15.75" thickBot="1" x14ac:dyDescent="0.3">
      <c r="A13" s="64" t="s">
        <v>1589</v>
      </c>
      <c r="B13" s="64"/>
      <c r="C13" s="64" t="s">
        <v>509</v>
      </c>
      <c r="D13" s="65">
        <v>5</v>
      </c>
    </row>
    <row r="14" spans="1:4" ht="15.75" thickBot="1" x14ac:dyDescent="0.3">
      <c r="A14" s="64" t="s">
        <v>1565</v>
      </c>
      <c r="B14" s="64"/>
      <c r="C14" s="64" t="s">
        <v>509</v>
      </c>
      <c r="D14" s="65">
        <v>1</v>
      </c>
    </row>
    <row r="15" spans="1:4" ht="15.75" thickBot="1" x14ac:dyDescent="0.3">
      <c r="A15" s="64" t="s">
        <v>1469</v>
      </c>
      <c r="B15" s="64"/>
      <c r="C15" s="64" t="s">
        <v>509</v>
      </c>
      <c r="D15" s="65">
        <v>4</v>
      </c>
    </row>
    <row r="16" spans="1:4" ht="15.75" thickBot="1" x14ac:dyDescent="0.3">
      <c r="A16" s="64" t="s">
        <v>1473</v>
      </c>
      <c r="B16" s="64"/>
      <c r="C16" s="64" t="s">
        <v>509</v>
      </c>
      <c r="D16" s="65">
        <v>7</v>
      </c>
    </row>
    <row r="17" spans="1:4" ht="15.75" thickBot="1" x14ac:dyDescent="0.3">
      <c r="A17" s="64" t="s">
        <v>554</v>
      </c>
      <c r="B17" s="64"/>
      <c r="C17" s="64" t="s">
        <v>509</v>
      </c>
      <c r="D17" s="65">
        <v>4</v>
      </c>
    </row>
    <row r="18" spans="1:4" ht="15.75" thickBot="1" x14ac:dyDescent="0.3">
      <c r="A18" s="64" t="s">
        <v>728</v>
      </c>
      <c r="B18" s="64"/>
      <c r="C18" s="64" t="s">
        <v>509</v>
      </c>
      <c r="D18" s="65">
        <v>2</v>
      </c>
    </row>
    <row r="19" spans="1:4" ht="15.75" thickBot="1" x14ac:dyDescent="0.3">
      <c r="A19" s="64" t="s">
        <v>720</v>
      </c>
      <c r="B19" s="64"/>
      <c r="C19" s="64" t="s">
        <v>509</v>
      </c>
      <c r="D19" s="65">
        <v>2</v>
      </c>
    </row>
    <row r="20" spans="1:4" ht="15.75" thickBot="1" x14ac:dyDescent="0.3">
      <c r="A20" s="64" t="s">
        <v>712</v>
      </c>
      <c r="B20" s="64"/>
      <c r="C20" s="64" t="s">
        <v>509</v>
      </c>
      <c r="D20" s="65">
        <v>1</v>
      </c>
    </row>
    <row r="21" spans="1:4" ht="15.75" thickBot="1" x14ac:dyDescent="0.3">
      <c r="A21" s="64" t="s">
        <v>716</v>
      </c>
      <c r="B21" s="64"/>
      <c r="C21" s="64" t="s">
        <v>509</v>
      </c>
      <c r="D21" s="65">
        <v>1</v>
      </c>
    </row>
    <row r="22" spans="1:4" ht="15.75" thickBot="1" x14ac:dyDescent="0.3">
      <c r="A22" s="64" t="s">
        <v>1576</v>
      </c>
      <c r="B22" s="64"/>
      <c r="C22" s="64" t="s">
        <v>509</v>
      </c>
      <c r="D22" s="65">
        <v>1</v>
      </c>
    </row>
    <row r="23" spans="1:4" ht="15.75" thickBot="1" x14ac:dyDescent="0.3">
      <c r="A23" s="64" t="s">
        <v>518</v>
      </c>
      <c r="B23" s="64"/>
      <c r="C23" s="64" t="s">
        <v>509</v>
      </c>
      <c r="D23" s="65">
        <v>4</v>
      </c>
    </row>
    <row r="24" spans="1:4" ht="15.75" thickBot="1" x14ac:dyDescent="0.3">
      <c r="A24" s="64" t="s">
        <v>508</v>
      </c>
      <c r="B24" s="64"/>
      <c r="C24" s="64" t="s">
        <v>509</v>
      </c>
      <c r="D24" s="65">
        <v>2</v>
      </c>
    </row>
    <row r="25" spans="1:4" ht="15.75" thickBot="1" x14ac:dyDescent="0.3">
      <c r="A25" s="64" t="s">
        <v>991</v>
      </c>
      <c r="B25" s="64"/>
      <c r="C25" s="64" t="s">
        <v>509</v>
      </c>
      <c r="D25" s="65">
        <v>3</v>
      </c>
    </row>
    <row r="26" spans="1:4" ht="15.75" thickBot="1" x14ac:dyDescent="0.3">
      <c r="A26" s="64" t="s">
        <v>790</v>
      </c>
      <c r="B26" s="64"/>
      <c r="C26" s="64" t="s">
        <v>509</v>
      </c>
      <c r="D26" s="65">
        <v>3</v>
      </c>
    </row>
    <row r="27" spans="1:4" ht="15.75" thickBot="1" x14ac:dyDescent="0.3">
      <c r="A27" s="64" t="s">
        <v>1544</v>
      </c>
      <c r="B27" s="64"/>
      <c r="C27" s="64" t="s">
        <v>589</v>
      </c>
      <c r="D27" s="65">
        <v>6</v>
      </c>
    </row>
    <row r="28" spans="1:4" ht="15.75" thickBot="1" x14ac:dyDescent="0.3">
      <c r="A28" s="64" t="s">
        <v>1060</v>
      </c>
      <c r="B28" s="64"/>
      <c r="C28" s="64" t="s">
        <v>509</v>
      </c>
      <c r="D28" s="65">
        <v>5</v>
      </c>
    </row>
    <row r="29" spans="1:4" ht="15.75" thickBot="1" x14ac:dyDescent="0.3">
      <c r="A29" s="64" t="s">
        <v>1700</v>
      </c>
      <c r="B29" s="64"/>
      <c r="C29" s="64" t="s">
        <v>509</v>
      </c>
      <c r="D29" s="65">
        <v>4</v>
      </c>
    </row>
    <row r="30" spans="1:4" ht="15.75" thickBot="1" x14ac:dyDescent="0.3">
      <c r="A30" s="64" t="s">
        <v>803</v>
      </c>
      <c r="B30" s="64"/>
      <c r="C30" s="64" t="s">
        <v>509</v>
      </c>
      <c r="D30" s="65">
        <v>2</v>
      </c>
    </row>
    <row r="31" spans="1:4" ht="15.75" thickBot="1" x14ac:dyDescent="0.3">
      <c r="A31" s="64" t="s">
        <v>951</v>
      </c>
      <c r="B31" s="64"/>
      <c r="C31" s="64" t="s">
        <v>296</v>
      </c>
      <c r="D31" s="65">
        <v>1</v>
      </c>
    </row>
    <row r="32" spans="1:4" ht="15.75" thickBot="1" x14ac:dyDescent="0.3">
      <c r="A32" s="64" t="s">
        <v>945</v>
      </c>
      <c r="B32" s="64"/>
      <c r="C32" s="64" t="s">
        <v>596</v>
      </c>
      <c r="D32" s="65">
        <v>2</v>
      </c>
    </row>
    <row r="33" spans="1:4" ht="15.75" thickBot="1" x14ac:dyDescent="0.3">
      <c r="A33" s="64" t="s">
        <v>937</v>
      </c>
      <c r="B33" s="64"/>
      <c r="C33" s="64" t="s">
        <v>546</v>
      </c>
      <c r="D33" s="65">
        <v>7</v>
      </c>
    </row>
    <row r="34" spans="1:4" ht="15.75" thickBot="1" x14ac:dyDescent="0.3">
      <c r="A34" s="64" t="s">
        <v>941</v>
      </c>
      <c r="B34" s="64"/>
      <c r="C34" s="64" t="s">
        <v>942</v>
      </c>
      <c r="D34" s="65">
        <v>1</v>
      </c>
    </row>
    <row r="35" spans="1:4" ht="15.75" thickBot="1" x14ac:dyDescent="0.3">
      <c r="A35" s="64" t="s">
        <v>946</v>
      </c>
      <c r="B35" s="64"/>
      <c r="C35" s="64" t="s">
        <v>596</v>
      </c>
      <c r="D35" s="65">
        <v>4</v>
      </c>
    </row>
    <row r="36" spans="1:4" ht="15.75" thickBot="1" x14ac:dyDescent="0.3">
      <c r="A36" s="64" t="s">
        <v>932</v>
      </c>
      <c r="B36" s="64"/>
      <c r="C36" s="64" t="s">
        <v>761</v>
      </c>
      <c r="D36" s="65">
        <v>3</v>
      </c>
    </row>
    <row r="37" spans="1:4" ht="15.75" thickBot="1" x14ac:dyDescent="0.3">
      <c r="A37" s="64" t="s">
        <v>1141</v>
      </c>
      <c r="B37" s="64"/>
      <c r="C37" s="64" t="s">
        <v>296</v>
      </c>
      <c r="D37" s="65">
        <v>1</v>
      </c>
    </row>
    <row r="38" spans="1:4" ht="15.75" thickBot="1" x14ac:dyDescent="0.3">
      <c r="A38" s="64" t="s">
        <v>663</v>
      </c>
      <c r="B38" s="64"/>
      <c r="C38" s="64" t="s">
        <v>296</v>
      </c>
      <c r="D38" s="65">
        <v>2</v>
      </c>
    </row>
    <row r="39" spans="1:4" ht="15.75" thickBot="1" x14ac:dyDescent="0.3">
      <c r="A39" s="64" t="s">
        <v>1426</v>
      </c>
      <c r="B39" s="64"/>
      <c r="C39" s="64" t="s">
        <v>296</v>
      </c>
      <c r="D39" s="65">
        <v>4</v>
      </c>
    </row>
    <row r="40" spans="1:4" ht="15.75" thickBot="1" x14ac:dyDescent="0.3">
      <c r="A40" s="64" t="s">
        <v>896</v>
      </c>
      <c r="B40" s="64"/>
      <c r="C40" s="64" t="s">
        <v>544</v>
      </c>
      <c r="D40" s="65">
        <v>7</v>
      </c>
    </row>
    <row r="41" spans="1:4" ht="15.75" thickBot="1" x14ac:dyDescent="0.3">
      <c r="A41" s="64" t="s">
        <v>1741</v>
      </c>
      <c r="B41" s="64"/>
      <c r="C41" s="64" t="s">
        <v>459</v>
      </c>
      <c r="D41" s="65">
        <v>2</v>
      </c>
    </row>
    <row r="42" spans="1:4" ht="15.75" thickBot="1" x14ac:dyDescent="0.3">
      <c r="A42" s="64" t="s">
        <v>1543</v>
      </c>
      <c r="B42" s="64"/>
      <c r="C42" s="64" t="s">
        <v>459</v>
      </c>
      <c r="D42" s="65">
        <v>1</v>
      </c>
    </row>
    <row r="43" spans="1:4" ht="15.75" thickBot="1" x14ac:dyDescent="0.3">
      <c r="A43" s="64" t="s">
        <v>1564</v>
      </c>
      <c r="B43" s="64"/>
      <c r="C43" s="64" t="s">
        <v>296</v>
      </c>
      <c r="D43" s="65">
        <v>5</v>
      </c>
    </row>
    <row r="44" spans="1:4" ht="15.75" thickBot="1" x14ac:dyDescent="0.3">
      <c r="A44" s="64" t="s">
        <v>1580</v>
      </c>
      <c r="B44" s="64"/>
      <c r="C44" s="64" t="s">
        <v>296</v>
      </c>
      <c r="D44" s="65">
        <v>4</v>
      </c>
    </row>
    <row r="45" spans="1:4" ht="15.75" thickBot="1" x14ac:dyDescent="0.3">
      <c r="A45" s="64" t="s">
        <v>995</v>
      </c>
      <c r="B45" s="64"/>
      <c r="C45" s="64" t="s">
        <v>296</v>
      </c>
      <c r="D45" s="65">
        <v>3</v>
      </c>
    </row>
    <row r="46" spans="1:4" ht="15.75" thickBot="1" x14ac:dyDescent="0.3">
      <c r="A46" s="64" t="s">
        <v>802</v>
      </c>
      <c r="B46" s="64"/>
      <c r="C46" s="64" t="s">
        <v>296</v>
      </c>
      <c r="D46" s="65">
        <v>10</v>
      </c>
    </row>
    <row r="47" spans="1:4" ht="15.75" thickBot="1" x14ac:dyDescent="0.3">
      <c r="A47" s="64" t="s">
        <v>747</v>
      </c>
      <c r="B47" s="64"/>
      <c r="C47" s="64" t="s">
        <v>596</v>
      </c>
      <c r="D47" s="65">
        <v>6</v>
      </c>
    </row>
    <row r="48" spans="1:4" ht="15.75" thickBot="1" x14ac:dyDescent="0.3">
      <c r="A48" s="64" t="s">
        <v>748</v>
      </c>
      <c r="B48" s="64"/>
      <c r="C48" s="64" t="s">
        <v>296</v>
      </c>
      <c r="D48" s="65">
        <v>1</v>
      </c>
    </row>
    <row r="49" spans="1:4" ht="15.75" thickBot="1" x14ac:dyDescent="0.3">
      <c r="A49" s="64" t="s">
        <v>609</v>
      </c>
      <c r="B49" s="64"/>
      <c r="C49" s="64" t="s">
        <v>296</v>
      </c>
      <c r="D49" s="65">
        <v>1</v>
      </c>
    </row>
    <row r="50" spans="1:4" ht="15.75" thickBot="1" x14ac:dyDescent="0.3">
      <c r="A50" s="64" t="s">
        <v>610</v>
      </c>
      <c r="B50" s="64"/>
      <c r="C50" s="64" t="s">
        <v>296</v>
      </c>
      <c r="D50" s="65">
        <v>1</v>
      </c>
    </row>
    <row r="51" spans="1:4" ht="15.75" thickBot="1" x14ac:dyDescent="0.3">
      <c r="A51" s="64" t="s">
        <v>604</v>
      </c>
      <c r="B51" s="64"/>
      <c r="C51" s="64" t="s">
        <v>296</v>
      </c>
      <c r="D51" s="65">
        <v>1</v>
      </c>
    </row>
    <row r="52" spans="1:4" ht="15.75" thickBot="1" x14ac:dyDescent="0.3">
      <c r="A52" s="64" t="s">
        <v>610</v>
      </c>
      <c r="B52" s="64"/>
      <c r="C52" s="64" t="s">
        <v>296</v>
      </c>
      <c r="D52" s="65">
        <v>1</v>
      </c>
    </row>
    <row r="53" spans="1:4" ht="15.75" thickBot="1" x14ac:dyDescent="0.3">
      <c r="A53" s="64" t="s">
        <v>607</v>
      </c>
      <c r="B53" s="64"/>
      <c r="C53" s="64" t="s">
        <v>296</v>
      </c>
      <c r="D53" s="65">
        <v>2</v>
      </c>
    </row>
    <row r="54" spans="1:4" ht="15.75" thickBot="1" x14ac:dyDescent="0.3">
      <c r="A54" s="64" t="s">
        <v>604</v>
      </c>
      <c r="B54" s="64"/>
      <c r="C54" s="64" t="s">
        <v>296</v>
      </c>
      <c r="D54" s="65">
        <v>1</v>
      </c>
    </row>
    <row r="55" spans="1:4" ht="15.75" thickBot="1" x14ac:dyDescent="0.3">
      <c r="A55" s="64" t="s">
        <v>603</v>
      </c>
      <c r="B55" s="64"/>
      <c r="C55" s="64" t="s">
        <v>296</v>
      </c>
      <c r="D55" s="65">
        <v>1</v>
      </c>
    </row>
    <row r="56" spans="1:4" ht="15.75" thickBot="1" x14ac:dyDescent="0.3">
      <c r="A56" s="64" t="s">
        <v>614</v>
      </c>
      <c r="B56" s="64"/>
      <c r="C56" s="64" t="s">
        <v>296</v>
      </c>
      <c r="D56" s="65">
        <v>1</v>
      </c>
    </row>
    <row r="57" spans="1:4" ht="15.75" thickBot="1" x14ac:dyDescent="0.3">
      <c r="A57" s="64" t="s">
        <v>605</v>
      </c>
      <c r="B57" s="64"/>
      <c r="C57" s="64" t="s">
        <v>296</v>
      </c>
      <c r="D57" s="65">
        <v>2</v>
      </c>
    </row>
    <row r="58" spans="1:4" ht="15.75" thickBot="1" x14ac:dyDescent="0.3">
      <c r="A58" s="64" t="s">
        <v>611</v>
      </c>
      <c r="B58" s="64"/>
      <c r="C58" s="64" t="s">
        <v>296</v>
      </c>
      <c r="D58" s="65">
        <v>1</v>
      </c>
    </row>
    <row r="59" spans="1:4" ht="15.75" thickBot="1" x14ac:dyDescent="0.3">
      <c r="A59" s="64" t="s">
        <v>606</v>
      </c>
      <c r="B59" s="64"/>
      <c r="C59" s="64" t="s">
        <v>296</v>
      </c>
      <c r="D59" s="65">
        <v>2</v>
      </c>
    </row>
    <row r="60" spans="1:4" ht="15.75" thickBot="1" x14ac:dyDescent="0.3">
      <c r="A60" s="64" t="s">
        <v>608</v>
      </c>
      <c r="B60" s="64"/>
      <c r="C60" s="64" t="s">
        <v>296</v>
      </c>
      <c r="D60" s="65">
        <v>1</v>
      </c>
    </row>
    <row r="61" spans="1:4" ht="15.75" thickBot="1" x14ac:dyDescent="0.3">
      <c r="A61" s="64" t="s">
        <v>612</v>
      </c>
      <c r="B61" s="64"/>
      <c r="C61" s="64" t="s">
        <v>296</v>
      </c>
      <c r="D61" s="65">
        <v>1</v>
      </c>
    </row>
    <row r="62" spans="1:4" ht="15.75" thickBot="1" x14ac:dyDescent="0.3">
      <c r="A62" s="64" t="s">
        <v>615</v>
      </c>
      <c r="B62" s="64"/>
      <c r="C62" s="64" t="s">
        <v>296</v>
      </c>
      <c r="D62" s="65">
        <v>1</v>
      </c>
    </row>
    <row r="63" spans="1:4" ht="15.75" thickBot="1" x14ac:dyDescent="0.3">
      <c r="A63" s="64" t="s">
        <v>616</v>
      </c>
      <c r="B63" s="64"/>
      <c r="C63" s="64" t="s">
        <v>296</v>
      </c>
      <c r="D63" s="65">
        <v>1</v>
      </c>
    </row>
    <row r="64" spans="1:4" ht="15.75" thickBot="1" x14ac:dyDescent="0.3">
      <c r="A64" s="64" t="s">
        <v>613</v>
      </c>
      <c r="B64" s="64"/>
      <c r="C64" s="64" t="s">
        <v>296</v>
      </c>
      <c r="D64" s="65">
        <v>1</v>
      </c>
    </row>
    <row r="65" spans="1:4" ht="15.75" thickBot="1" x14ac:dyDescent="0.3">
      <c r="A65" s="64" t="s">
        <v>1557</v>
      </c>
      <c r="B65" s="64"/>
      <c r="C65" s="64" t="s">
        <v>596</v>
      </c>
      <c r="D65" s="65">
        <v>102</v>
      </c>
    </row>
    <row r="66" spans="1:4" ht="15.75" thickBot="1" x14ac:dyDescent="0.3">
      <c r="A66" s="64" t="s">
        <v>607</v>
      </c>
      <c r="B66" s="64"/>
      <c r="C66" s="64" t="s">
        <v>296</v>
      </c>
      <c r="D66" s="65">
        <v>1</v>
      </c>
    </row>
    <row r="67" spans="1:4" ht="15.75" thickBot="1" x14ac:dyDescent="0.3">
      <c r="A67" s="64" t="s">
        <v>1263</v>
      </c>
      <c r="B67" s="64"/>
      <c r="C67" s="64" t="s">
        <v>296</v>
      </c>
      <c r="D67" s="65">
        <v>6</v>
      </c>
    </row>
    <row r="68" spans="1:4" ht="15.75" thickBot="1" x14ac:dyDescent="0.3">
      <c r="A68" s="64" t="s">
        <v>1580</v>
      </c>
      <c r="B68" s="64"/>
      <c r="C68" s="64" t="s">
        <v>296</v>
      </c>
      <c r="D68" s="65">
        <v>2</v>
      </c>
    </row>
    <row r="69" spans="1:4" ht="15.75" thickBot="1" x14ac:dyDescent="0.3">
      <c r="A69" s="64" t="s">
        <v>1275</v>
      </c>
      <c r="B69" s="64"/>
      <c r="C69" s="64" t="s">
        <v>296</v>
      </c>
      <c r="D69" s="65">
        <v>1</v>
      </c>
    </row>
    <row r="70" spans="1:4" ht="15.75" thickBot="1" x14ac:dyDescent="0.3">
      <c r="A70" s="64" t="s">
        <v>980</v>
      </c>
      <c r="B70" s="64"/>
      <c r="C70" s="64" t="s">
        <v>296</v>
      </c>
      <c r="D70" s="65">
        <v>5</v>
      </c>
    </row>
    <row r="71" spans="1:4" ht="15.75" thickBot="1" x14ac:dyDescent="0.3">
      <c r="A71" s="64" t="s">
        <v>974</v>
      </c>
      <c r="B71" s="64"/>
      <c r="C71" s="64" t="s">
        <v>296</v>
      </c>
      <c r="D71" s="65">
        <v>4</v>
      </c>
    </row>
    <row r="72" spans="1:4" ht="15.75" thickBot="1" x14ac:dyDescent="0.3">
      <c r="A72" s="64" t="s">
        <v>985</v>
      </c>
      <c r="B72" s="64"/>
      <c r="C72" s="64" t="s">
        <v>296</v>
      </c>
      <c r="D72" s="65">
        <v>1</v>
      </c>
    </row>
    <row r="73" spans="1:4" ht="15.75" thickBot="1" x14ac:dyDescent="0.3">
      <c r="A73" s="64" t="s">
        <v>963</v>
      </c>
      <c r="B73" s="64"/>
      <c r="C73" s="64" t="s">
        <v>296</v>
      </c>
      <c r="D73" s="65">
        <v>10</v>
      </c>
    </row>
    <row r="74" spans="1:4" ht="15.75" thickBot="1" x14ac:dyDescent="0.3">
      <c r="A74" s="64" t="s">
        <v>1319</v>
      </c>
      <c r="B74" s="64"/>
      <c r="C74" s="64" t="s">
        <v>296</v>
      </c>
      <c r="D74" s="65">
        <v>7</v>
      </c>
    </row>
    <row r="75" spans="1:4" ht="15.75" thickBot="1" x14ac:dyDescent="0.3">
      <c r="A75" s="64" t="s">
        <v>1392</v>
      </c>
      <c r="B75" s="64"/>
      <c r="C75" s="64" t="s">
        <v>296</v>
      </c>
      <c r="D75" s="65">
        <v>4</v>
      </c>
    </row>
    <row r="76" spans="1:4" ht="15.75" thickBot="1" x14ac:dyDescent="0.3">
      <c r="A76" s="64" t="s">
        <v>1767</v>
      </c>
      <c r="B76" s="64"/>
      <c r="C76" s="64" t="s">
        <v>296</v>
      </c>
      <c r="D76" s="65">
        <v>2</v>
      </c>
    </row>
    <row r="77" spans="1:4" ht="15.75" thickBot="1" x14ac:dyDescent="0.3">
      <c r="A77" s="64" t="s">
        <v>1386</v>
      </c>
      <c r="B77" s="64"/>
      <c r="C77" s="64" t="s">
        <v>296</v>
      </c>
      <c r="D77" s="65">
        <v>4</v>
      </c>
    </row>
    <row r="78" spans="1:4" ht="15.75" thickBot="1" x14ac:dyDescent="0.3">
      <c r="A78" s="64" t="s">
        <v>1468</v>
      </c>
      <c r="B78" s="64"/>
      <c r="C78" s="64" t="s">
        <v>296</v>
      </c>
      <c r="D78" s="65">
        <v>4</v>
      </c>
    </row>
    <row r="79" spans="1:4" ht="15.75" thickBot="1" x14ac:dyDescent="0.3">
      <c r="A79" s="64" t="s">
        <v>1472</v>
      </c>
      <c r="B79" s="64"/>
      <c r="C79" s="64" t="s">
        <v>296</v>
      </c>
      <c r="D79" s="65">
        <v>1</v>
      </c>
    </row>
    <row r="80" spans="1:4" ht="15.75" thickBot="1" x14ac:dyDescent="0.3">
      <c r="A80" s="64" t="s">
        <v>517</v>
      </c>
      <c r="B80" s="64"/>
      <c r="C80" s="64" t="s">
        <v>296</v>
      </c>
      <c r="D80" s="65">
        <v>2</v>
      </c>
    </row>
    <row r="81" spans="1:4" ht="15.75" thickBot="1" x14ac:dyDescent="0.3">
      <c r="A81" s="64" t="s">
        <v>707</v>
      </c>
      <c r="B81" s="64"/>
      <c r="C81" s="64" t="s">
        <v>296</v>
      </c>
      <c r="D81" s="65">
        <v>6</v>
      </c>
    </row>
    <row r="82" spans="1:4" ht="15.75" thickBot="1" x14ac:dyDescent="0.3">
      <c r="A82" s="64" t="s">
        <v>715</v>
      </c>
      <c r="B82" s="64"/>
      <c r="C82" s="64" t="s">
        <v>296</v>
      </c>
      <c r="D82" s="65">
        <v>1</v>
      </c>
    </row>
    <row r="83" spans="1:4" ht="15.75" thickBot="1" x14ac:dyDescent="0.3">
      <c r="A83" s="64" t="s">
        <v>842</v>
      </c>
      <c r="B83" s="64"/>
      <c r="C83" s="64" t="s">
        <v>459</v>
      </c>
      <c r="D83" s="65">
        <v>2</v>
      </c>
    </row>
    <row r="84" spans="1:4" ht="15.75" thickBot="1" x14ac:dyDescent="0.3">
      <c r="A84" s="64" t="s">
        <v>529</v>
      </c>
      <c r="B84" s="64"/>
      <c r="C84" s="64" t="s">
        <v>296</v>
      </c>
      <c r="D84" s="65">
        <v>6</v>
      </c>
    </row>
    <row r="85" spans="1:4" ht="15.75" thickBot="1" x14ac:dyDescent="0.3">
      <c r="A85" s="64" t="s">
        <v>525</v>
      </c>
      <c r="B85" s="64"/>
      <c r="C85" s="64" t="s">
        <v>296</v>
      </c>
      <c r="D85" s="65">
        <v>3</v>
      </c>
    </row>
    <row r="86" spans="1:4" ht="15.75" thickBot="1" x14ac:dyDescent="0.3">
      <c r="A86" s="64" t="s">
        <v>547</v>
      </c>
      <c r="B86" s="64"/>
      <c r="C86" s="64" t="s">
        <v>296</v>
      </c>
      <c r="D86" s="65">
        <v>2</v>
      </c>
    </row>
    <row r="87" spans="1:4" ht="15.75" thickBot="1" x14ac:dyDescent="0.3">
      <c r="A87" s="64" t="s">
        <v>558</v>
      </c>
      <c r="B87" s="64"/>
      <c r="C87" s="64" t="s">
        <v>296</v>
      </c>
      <c r="D87" s="65">
        <v>2</v>
      </c>
    </row>
    <row r="88" spans="1:4" ht="15.75" thickBot="1" x14ac:dyDescent="0.3">
      <c r="A88" s="64" t="s">
        <v>836</v>
      </c>
      <c r="B88" s="64"/>
      <c r="C88" s="64" t="s">
        <v>459</v>
      </c>
      <c r="D88" s="65">
        <v>1</v>
      </c>
    </row>
    <row r="89" spans="1:4" ht="15.75" thickBot="1" x14ac:dyDescent="0.3">
      <c r="A89" s="64" t="s">
        <v>1264</v>
      </c>
      <c r="B89" s="64"/>
      <c r="C89" s="64" t="s">
        <v>509</v>
      </c>
      <c r="D89" s="65">
        <v>3</v>
      </c>
    </row>
    <row r="90" spans="1:4" ht="15.75" thickBot="1" x14ac:dyDescent="0.3">
      <c r="A90" s="64" t="s">
        <v>963</v>
      </c>
      <c r="B90" s="64"/>
      <c r="C90" s="64" t="s">
        <v>296</v>
      </c>
      <c r="D90" s="65">
        <v>4</v>
      </c>
    </row>
    <row r="91" spans="1:4" ht="15.75" thickBot="1" x14ac:dyDescent="0.3">
      <c r="A91" s="64" t="s">
        <v>1174</v>
      </c>
      <c r="B91" s="64"/>
      <c r="C91" s="64" t="s">
        <v>596</v>
      </c>
      <c r="D91" s="65">
        <v>2</v>
      </c>
    </row>
    <row r="92" spans="1:4" ht="15.75" thickBot="1" x14ac:dyDescent="0.3">
      <c r="A92" s="64" t="s">
        <v>996</v>
      </c>
      <c r="B92" s="64"/>
      <c r="C92" s="64" t="s">
        <v>509</v>
      </c>
      <c r="D92" s="65">
        <v>2</v>
      </c>
    </row>
    <row r="93" spans="1:4" ht="15.75" thickBot="1" x14ac:dyDescent="0.3">
      <c r="A93" s="64" t="s">
        <v>1496</v>
      </c>
      <c r="B93" s="64"/>
      <c r="C93" s="64" t="s">
        <v>544</v>
      </c>
      <c r="D93" s="65">
        <v>10</v>
      </c>
    </row>
    <row r="94" spans="1:4" ht="15.75" thickBot="1" x14ac:dyDescent="0.3">
      <c r="A94" s="64" t="s">
        <v>1698</v>
      </c>
      <c r="B94" s="64"/>
      <c r="C94" s="64" t="s">
        <v>296</v>
      </c>
      <c r="D94" s="65">
        <v>6</v>
      </c>
    </row>
    <row r="95" spans="1:4" ht="15.75" thickBot="1" x14ac:dyDescent="0.3">
      <c r="A95" s="64" t="s">
        <v>1057</v>
      </c>
      <c r="B95" s="64"/>
      <c r="C95" s="64" t="s">
        <v>296</v>
      </c>
      <c r="D95" s="65">
        <v>6</v>
      </c>
    </row>
    <row r="96" spans="1:4" ht="15.75" thickBot="1" x14ac:dyDescent="0.3">
      <c r="A96" s="64" t="s">
        <v>963</v>
      </c>
      <c r="B96" s="64"/>
      <c r="C96" s="64" t="s">
        <v>296</v>
      </c>
      <c r="D96" s="65">
        <v>6</v>
      </c>
    </row>
    <row r="97" spans="1:4" ht="15.75" thickBot="1" x14ac:dyDescent="0.3">
      <c r="A97" s="64" t="s">
        <v>990</v>
      </c>
      <c r="B97" s="64"/>
      <c r="C97" s="64" t="s">
        <v>296</v>
      </c>
      <c r="D97" s="65">
        <v>12</v>
      </c>
    </row>
    <row r="98" spans="1:4" ht="15.75" thickBot="1" x14ac:dyDescent="0.3">
      <c r="A98" s="64" t="s">
        <v>995</v>
      </c>
      <c r="B98" s="64"/>
      <c r="C98" s="64" t="s">
        <v>296</v>
      </c>
      <c r="D98" s="65">
        <v>12</v>
      </c>
    </row>
    <row r="99" spans="1:4" ht="15.75" thickBot="1" x14ac:dyDescent="0.3">
      <c r="A99" s="64" t="s">
        <v>1183</v>
      </c>
      <c r="B99" s="64"/>
      <c r="C99" s="64" t="s">
        <v>296</v>
      </c>
      <c r="D99" s="65">
        <v>6</v>
      </c>
    </row>
    <row r="100" spans="1:4" ht="15.75" thickBot="1" x14ac:dyDescent="0.3">
      <c r="A100" s="64" t="s">
        <v>1227</v>
      </c>
      <c r="B100" s="64"/>
      <c r="C100" s="64" t="s">
        <v>296</v>
      </c>
      <c r="D100" s="65">
        <v>12</v>
      </c>
    </row>
    <row r="101" spans="1:4" ht="15.75" thickBot="1" x14ac:dyDescent="0.3">
      <c r="A101" s="64" t="s">
        <v>1176</v>
      </c>
      <c r="B101" s="64"/>
      <c r="C101" s="64" t="s">
        <v>296</v>
      </c>
      <c r="D101" s="65">
        <v>12</v>
      </c>
    </row>
    <row r="102" spans="1:4" ht="15.75" thickBot="1" x14ac:dyDescent="0.3">
      <c r="A102" s="64" t="s">
        <v>1564</v>
      </c>
      <c r="B102" s="64"/>
      <c r="C102" s="64" t="s">
        <v>296</v>
      </c>
      <c r="D102" s="65">
        <v>12</v>
      </c>
    </row>
    <row r="103" spans="1:4" ht="15.75" thickBot="1" x14ac:dyDescent="0.3">
      <c r="A103" s="64" t="s">
        <v>1588</v>
      </c>
      <c r="B103" s="64"/>
      <c r="C103" s="64" t="s">
        <v>296</v>
      </c>
      <c r="D103" s="65">
        <v>12</v>
      </c>
    </row>
    <row r="104" spans="1:4" ht="15.75" thickBot="1" x14ac:dyDescent="0.3">
      <c r="A104" s="64" t="s">
        <v>1267</v>
      </c>
      <c r="B104" s="64"/>
      <c r="C104" s="64" t="s">
        <v>296</v>
      </c>
      <c r="D104" s="65">
        <v>6</v>
      </c>
    </row>
    <row r="105" spans="1:4" ht="15.75" thickBot="1" x14ac:dyDescent="0.3">
      <c r="A105" s="64" t="s">
        <v>1275</v>
      </c>
      <c r="B105" s="64"/>
      <c r="C105" s="64" t="s">
        <v>296</v>
      </c>
      <c r="D105" s="65">
        <v>6</v>
      </c>
    </row>
    <row r="106" spans="1:4" ht="15.75" thickBot="1" x14ac:dyDescent="0.3">
      <c r="A106" s="64" t="s">
        <v>547</v>
      </c>
      <c r="B106" s="64"/>
      <c r="C106" s="64" t="s">
        <v>296</v>
      </c>
      <c r="D106" s="65">
        <v>6</v>
      </c>
    </row>
    <row r="107" spans="1:4" ht="15.75" thickBot="1" x14ac:dyDescent="0.3">
      <c r="A107" s="64" t="s">
        <v>882</v>
      </c>
      <c r="B107" s="64"/>
      <c r="C107" s="64" t="s">
        <v>296</v>
      </c>
      <c r="D107" s="65">
        <v>6</v>
      </c>
    </row>
    <row r="108" spans="1:4" ht="15.75" thickBot="1" x14ac:dyDescent="0.3">
      <c r="A108" s="64" t="s">
        <v>525</v>
      </c>
      <c r="B108" s="64"/>
      <c r="C108" s="64" t="s">
        <v>296</v>
      </c>
      <c r="D108" s="65">
        <v>6</v>
      </c>
    </row>
    <row r="109" spans="1:4" ht="15.75" thickBot="1" x14ac:dyDescent="0.3">
      <c r="A109" s="64" t="s">
        <v>1392</v>
      </c>
      <c r="B109" s="64"/>
      <c r="C109" s="64" t="s">
        <v>296</v>
      </c>
      <c r="D109" s="65">
        <v>6</v>
      </c>
    </row>
    <row r="110" spans="1:4" ht="15.75" thickBot="1" x14ac:dyDescent="0.3">
      <c r="A110" s="64" t="s">
        <v>731</v>
      </c>
      <c r="B110" s="64"/>
      <c r="C110" s="64" t="s">
        <v>296</v>
      </c>
      <c r="D110" s="65">
        <v>6</v>
      </c>
    </row>
    <row r="111" spans="1:4" ht="15.75" thickBot="1" x14ac:dyDescent="0.3">
      <c r="A111" s="64" t="s">
        <v>711</v>
      </c>
      <c r="B111" s="64"/>
      <c r="C111" s="64" t="s">
        <v>296</v>
      </c>
      <c r="D111" s="65">
        <v>6</v>
      </c>
    </row>
    <row r="112" spans="1:4" ht="15.75" thickBot="1" x14ac:dyDescent="0.3">
      <c r="A112" s="64" t="s">
        <v>707</v>
      </c>
      <c r="B112" s="64"/>
      <c r="C112" s="64" t="s">
        <v>296</v>
      </c>
      <c r="D112" s="65">
        <v>18</v>
      </c>
    </row>
    <row r="113" spans="1:4" ht="15.75" thickBot="1" x14ac:dyDescent="0.3">
      <c r="A113" s="64" t="s">
        <v>1319</v>
      </c>
      <c r="B113" s="64"/>
      <c r="C113" s="64" t="s">
        <v>296</v>
      </c>
      <c r="D113" s="65">
        <v>18</v>
      </c>
    </row>
    <row r="114" spans="1:4" ht="15.75" thickBot="1" x14ac:dyDescent="0.3">
      <c r="A114" s="64" t="s">
        <v>537</v>
      </c>
      <c r="B114" s="64"/>
      <c r="C114" s="64" t="s">
        <v>296</v>
      </c>
      <c r="D114" s="65">
        <v>6</v>
      </c>
    </row>
    <row r="115" spans="1:4" ht="15.75" thickBot="1" x14ac:dyDescent="0.3">
      <c r="A115" s="64" t="s">
        <v>507</v>
      </c>
      <c r="B115" s="64"/>
      <c r="C115" s="64" t="s">
        <v>296</v>
      </c>
      <c r="D115" s="65">
        <v>12</v>
      </c>
    </row>
    <row r="116" spans="1:4" ht="15.75" thickBot="1" x14ac:dyDescent="0.3">
      <c r="A116" s="64" t="s">
        <v>1057</v>
      </c>
      <c r="B116" s="64"/>
      <c r="C116" s="64" t="s">
        <v>296</v>
      </c>
      <c r="D116" s="65">
        <v>5</v>
      </c>
    </row>
    <row r="117" spans="1:4" ht="15.75" thickBot="1" x14ac:dyDescent="0.3">
      <c r="A117" s="64" t="s">
        <v>1565</v>
      </c>
      <c r="B117" s="64"/>
      <c r="C117" s="64" t="s">
        <v>509</v>
      </c>
      <c r="D117" s="65">
        <v>4</v>
      </c>
    </row>
    <row r="118" spans="1:4" ht="15.75" thickBot="1" x14ac:dyDescent="0.3">
      <c r="A118" s="64" t="s">
        <v>1700</v>
      </c>
      <c r="B118" s="64"/>
      <c r="C118" s="64" t="s">
        <v>509</v>
      </c>
      <c r="D118" s="65">
        <v>4</v>
      </c>
    </row>
    <row r="119" spans="1:4" ht="15.75" thickBot="1" x14ac:dyDescent="0.3">
      <c r="A119" s="64" t="s">
        <v>790</v>
      </c>
      <c r="B119" s="64"/>
      <c r="C119" s="64" t="s">
        <v>509</v>
      </c>
      <c r="D119" s="65">
        <v>4</v>
      </c>
    </row>
    <row r="120" spans="1:4" ht="15.75" thickBot="1" x14ac:dyDescent="0.3">
      <c r="A120" s="64" t="s">
        <v>1184</v>
      </c>
      <c r="B120" s="64"/>
      <c r="C120" s="64" t="s">
        <v>509</v>
      </c>
      <c r="D120" s="65">
        <v>4</v>
      </c>
    </row>
    <row r="121" spans="1:4" ht="15.75" thickBot="1" x14ac:dyDescent="0.3">
      <c r="A121" s="64" t="s">
        <v>964</v>
      </c>
      <c r="B121" s="64"/>
      <c r="C121" s="64" t="s">
        <v>509</v>
      </c>
      <c r="D121" s="65">
        <v>4</v>
      </c>
    </row>
    <row r="122" spans="1:4" ht="15.75" thickBot="1" x14ac:dyDescent="0.3">
      <c r="A122" s="64" t="s">
        <v>1228</v>
      </c>
      <c r="B122" s="64"/>
      <c r="C122" s="64" t="s">
        <v>509</v>
      </c>
      <c r="D122" s="65">
        <v>4</v>
      </c>
    </row>
    <row r="123" spans="1:4" ht="15.75" thickBot="1" x14ac:dyDescent="0.3">
      <c r="A123" s="64" t="s">
        <v>1178</v>
      </c>
      <c r="B123" s="64"/>
      <c r="C123" s="64" t="s">
        <v>509</v>
      </c>
      <c r="D123" s="65">
        <v>4</v>
      </c>
    </row>
    <row r="124" spans="1:4" ht="15.75" thickBot="1" x14ac:dyDescent="0.3">
      <c r="A124" s="64" t="s">
        <v>1768</v>
      </c>
      <c r="B124" s="64"/>
      <c r="C124" s="64" t="s">
        <v>509</v>
      </c>
      <c r="D124" s="65">
        <v>4</v>
      </c>
    </row>
    <row r="125" spans="1:4" ht="15.75" thickBot="1" x14ac:dyDescent="0.3">
      <c r="A125" s="64" t="s">
        <v>1393</v>
      </c>
      <c r="B125" s="64"/>
      <c r="C125" s="64" t="s">
        <v>509</v>
      </c>
      <c r="D125" s="65">
        <v>4</v>
      </c>
    </row>
    <row r="126" spans="1:4" ht="15.75" thickBot="1" x14ac:dyDescent="0.3">
      <c r="A126" s="64" t="s">
        <v>1184</v>
      </c>
      <c r="B126" s="64"/>
      <c r="C126" s="64" t="s">
        <v>509</v>
      </c>
      <c r="D126" s="65">
        <v>4</v>
      </c>
    </row>
    <row r="127" spans="1:4" ht="15.75" thickBot="1" x14ac:dyDescent="0.3">
      <c r="A127" s="64" t="s">
        <v>720</v>
      </c>
      <c r="B127" s="64"/>
      <c r="C127" s="64" t="s">
        <v>509</v>
      </c>
      <c r="D127" s="65">
        <v>4</v>
      </c>
    </row>
    <row r="128" spans="1:4" ht="15.75" thickBot="1" x14ac:dyDescent="0.3">
      <c r="A128" s="64" t="s">
        <v>1169</v>
      </c>
      <c r="B128" s="64"/>
      <c r="C128" s="64" t="s">
        <v>509</v>
      </c>
      <c r="D128" s="65">
        <v>4</v>
      </c>
    </row>
    <row r="129" spans="1:4" ht="15.75" thickBot="1" x14ac:dyDescent="0.3">
      <c r="A129" s="64" t="s">
        <v>526</v>
      </c>
      <c r="B129" s="64"/>
      <c r="C129" s="64" t="s">
        <v>509</v>
      </c>
      <c r="D129" s="65">
        <v>4</v>
      </c>
    </row>
    <row r="130" spans="1:4" ht="15.75" thickBot="1" x14ac:dyDescent="0.3">
      <c r="A130" s="64" t="s">
        <v>1060</v>
      </c>
      <c r="B130" s="64"/>
      <c r="C130" s="64" t="s">
        <v>509</v>
      </c>
      <c r="D130" s="65">
        <v>4</v>
      </c>
    </row>
    <row r="131" spans="1:4" ht="15.75" thickBot="1" x14ac:dyDescent="0.3">
      <c r="A131" s="64" t="s">
        <v>966</v>
      </c>
      <c r="B131" s="64"/>
      <c r="C131" s="64" t="s">
        <v>439</v>
      </c>
      <c r="D131" s="65">
        <v>7</v>
      </c>
    </row>
    <row r="132" spans="1:4" ht="15.75" thickBot="1" x14ac:dyDescent="0.3">
      <c r="A132" s="64" t="s">
        <v>331</v>
      </c>
      <c r="B132" s="64"/>
      <c r="C132" s="64" t="s">
        <v>439</v>
      </c>
      <c r="D132" s="65">
        <v>9</v>
      </c>
    </row>
    <row r="133" spans="1:4" ht="15.75" thickBot="1" x14ac:dyDescent="0.3">
      <c r="A133" s="64" t="s">
        <v>806</v>
      </c>
      <c r="B133" s="64"/>
      <c r="C133" s="64" t="s">
        <v>439</v>
      </c>
      <c r="D133" s="65">
        <v>4</v>
      </c>
    </row>
    <row r="134" spans="1:4" ht="15.75" thickBot="1" x14ac:dyDescent="0.3">
      <c r="A134" s="64" t="s">
        <v>1567</v>
      </c>
      <c r="B134" s="64"/>
      <c r="C134" s="64" t="s">
        <v>439</v>
      </c>
      <c r="D134" s="65">
        <v>7</v>
      </c>
    </row>
    <row r="135" spans="1:4" ht="15.75" thickBot="1" x14ac:dyDescent="0.3">
      <c r="A135" s="64" t="s">
        <v>1322</v>
      </c>
      <c r="B135" s="64"/>
      <c r="C135" s="64" t="s">
        <v>439</v>
      </c>
      <c r="D135" s="65">
        <v>4</v>
      </c>
    </row>
    <row r="136" spans="1:4" ht="15.75" thickBot="1" x14ac:dyDescent="0.3">
      <c r="A136" s="64" t="s">
        <v>512</v>
      </c>
      <c r="B136" s="64"/>
      <c r="C136" s="64" t="s">
        <v>439</v>
      </c>
      <c r="D136" s="65">
        <v>1</v>
      </c>
    </row>
    <row r="137" spans="1:4" ht="15.75" thickBot="1" x14ac:dyDescent="0.3">
      <c r="A137" s="64" t="s">
        <v>795</v>
      </c>
      <c r="B137" s="64"/>
      <c r="C137" s="64" t="s">
        <v>439</v>
      </c>
      <c r="D137" s="65">
        <v>2</v>
      </c>
    </row>
    <row r="138" spans="1:4" ht="15.75" thickBot="1" x14ac:dyDescent="0.3">
      <c r="A138" s="64" t="s">
        <v>978</v>
      </c>
      <c r="B138" s="64"/>
      <c r="C138" s="64" t="s">
        <v>439</v>
      </c>
      <c r="D138" s="65">
        <v>1</v>
      </c>
    </row>
    <row r="139" spans="1:4" ht="15.75" thickBot="1" x14ac:dyDescent="0.3">
      <c r="A139" s="64" t="s">
        <v>1000</v>
      </c>
      <c r="B139" s="64"/>
      <c r="C139" s="64" t="s">
        <v>439</v>
      </c>
      <c r="D139" s="65">
        <v>1</v>
      </c>
    </row>
    <row r="140" spans="1:4" ht="15.75" thickBot="1" x14ac:dyDescent="0.3">
      <c r="A140" s="64" t="s">
        <v>804</v>
      </c>
      <c r="B140" s="64"/>
      <c r="C140" s="64" t="s">
        <v>511</v>
      </c>
      <c r="D140" s="65">
        <v>6</v>
      </c>
    </row>
    <row r="141" spans="1:4" ht="15.75" thickBot="1" x14ac:dyDescent="0.3">
      <c r="A141" s="64" t="s">
        <v>713</v>
      </c>
      <c r="B141" s="64"/>
      <c r="C141" s="64" t="s">
        <v>511</v>
      </c>
      <c r="D141" s="65">
        <v>2</v>
      </c>
    </row>
    <row r="142" spans="1:4" ht="15.75" thickBot="1" x14ac:dyDescent="0.3">
      <c r="A142" s="64" t="s">
        <v>1566</v>
      </c>
      <c r="B142" s="64"/>
      <c r="C142" s="64" t="s">
        <v>511</v>
      </c>
      <c r="D142" s="65">
        <v>11</v>
      </c>
    </row>
    <row r="143" spans="1:4" ht="15.75" thickBot="1" x14ac:dyDescent="0.3">
      <c r="A143" s="64" t="s">
        <v>1321</v>
      </c>
      <c r="B143" s="64"/>
      <c r="C143" s="64" t="s">
        <v>511</v>
      </c>
      <c r="D143" s="65">
        <v>1</v>
      </c>
    </row>
    <row r="144" spans="1:4" ht="15.75" thickBot="1" x14ac:dyDescent="0.3">
      <c r="A144" s="64" t="s">
        <v>510</v>
      </c>
      <c r="B144" s="64"/>
      <c r="C144" s="64" t="s">
        <v>511</v>
      </c>
      <c r="D144" s="65">
        <v>1</v>
      </c>
    </row>
    <row r="145" spans="1:4" ht="15.75" thickBot="1" x14ac:dyDescent="0.3">
      <c r="A145" s="64" t="s">
        <v>793</v>
      </c>
      <c r="B145" s="64"/>
      <c r="C145" s="64" t="s">
        <v>511</v>
      </c>
      <c r="D145" s="65">
        <v>2</v>
      </c>
    </row>
    <row r="146" spans="1:4" ht="15.75" thickBot="1" x14ac:dyDescent="0.3">
      <c r="A146" s="64" t="s">
        <v>992</v>
      </c>
      <c r="B146" s="64"/>
      <c r="C146" s="64" t="s">
        <v>511</v>
      </c>
      <c r="D146" s="65">
        <v>1</v>
      </c>
    </row>
    <row r="147" spans="1:4" ht="15.75" thickBot="1" x14ac:dyDescent="0.3">
      <c r="A147" s="64" t="s">
        <v>709</v>
      </c>
      <c r="B147" s="64"/>
      <c r="C147" s="64" t="s">
        <v>511</v>
      </c>
      <c r="D147" s="65">
        <v>1</v>
      </c>
    </row>
    <row r="148" spans="1:4" ht="15.75" thickBot="1" x14ac:dyDescent="0.3">
      <c r="A148" s="64" t="s">
        <v>1321</v>
      </c>
      <c r="B148" s="64"/>
      <c r="C148" s="64" t="s">
        <v>511</v>
      </c>
      <c r="D148" s="65">
        <v>1</v>
      </c>
    </row>
    <row r="149" spans="1:4" ht="15.75" thickBot="1" x14ac:dyDescent="0.3">
      <c r="A149" s="64" t="s">
        <v>709</v>
      </c>
      <c r="B149" s="64"/>
      <c r="C149" s="64" t="s">
        <v>511</v>
      </c>
      <c r="D149" s="65">
        <v>1</v>
      </c>
    </row>
    <row r="150" spans="1:4" ht="15.75" thickBot="1" x14ac:dyDescent="0.3">
      <c r="A150" s="64" t="s">
        <v>965</v>
      </c>
      <c r="B150" s="64"/>
      <c r="C150" s="64" t="s">
        <v>511</v>
      </c>
      <c r="D150" s="65">
        <v>1</v>
      </c>
    </row>
    <row r="151" spans="1:4" ht="15.75" thickBot="1" x14ac:dyDescent="0.3">
      <c r="A151" s="64" t="s">
        <v>977</v>
      </c>
      <c r="B151" s="64"/>
      <c r="C151" s="64" t="s">
        <v>511</v>
      </c>
      <c r="D151" s="65">
        <v>1</v>
      </c>
    </row>
    <row r="152" spans="1:4" ht="15.75" thickBot="1" x14ac:dyDescent="0.3">
      <c r="A152" s="64" t="s">
        <v>1265</v>
      </c>
      <c r="B152" s="64"/>
      <c r="C152" s="64" t="s">
        <v>511</v>
      </c>
      <c r="D152" s="65">
        <v>1</v>
      </c>
    </row>
    <row r="153" spans="1:4" ht="15.75" thickBot="1" x14ac:dyDescent="0.3">
      <c r="A153" s="64" t="s">
        <v>527</v>
      </c>
      <c r="B153" s="64"/>
      <c r="C153" s="64" t="s">
        <v>511</v>
      </c>
      <c r="D153" s="65">
        <v>1</v>
      </c>
    </row>
    <row r="154" spans="1:4" ht="15.75" thickBot="1" x14ac:dyDescent="0.3">
      <c r="A154" s="64" t="s">
        <v>982</v>
      </c>
      <c r="B154" s="64"/>
      <c r="C154" s="64" t="s">
        <v>511</v>
      </c>
      <c r="D154" s="65">
        <v>1</v>
      </c>
    </row>
    <row r="155" spans="1:4" ht="15.75" thickBot="1" x14ac:dyDescent="0.3">
      <c r="A155" s="64" t="s">
        <v>1321</v>
      </c>
      <c r="B155" s="64"/>
      <c r="C155" s="64" t="s">
        <v>511</v>
      </c>
      <c r="D155" s="65">
        <v>3</v>
      </c>
    </row>
    <row r="156" spans="1:4" ht="15.75" thickBot="1" x14ac:dyDescent="0.3">
      <c r="A156" s="64" t="s">
        <v>998</v>
      </c>
      <c r="B156" s="64"/>
      <c r="C156" s="64" t="s">
        <v>511</v>
      </c>
      <c r="D156" s="65">
        <v>1</v>
      </c>
    </row>
    <row r="157" spans="1:4" ht="15.75" thickBot="1" x14ac:dyDescent="0.3">
      <c r="A157" s="64" t="s">
        <v>804</v>
      </c>
      <c r="B157" s="64"/>
      <c r="C157" s="64" t="s">
        <v>511</v>
      </c>
      <c r="D157" s="65">
        <v>1</v>
      </c>
    </row>
    <row r="158" spans="1:4" ht="15.75" thickBot="1" x14ac:dyDescent="0.3">
      <c r="A158" s="64" t="s">
        <v>965</v>
      </c>
      <c r="B158" s="64"/>
      <c r="C158" s="64" t="s">
        <v>511</v>
      </c>
      <c r="D158" s="65">
        <v>3</v>
      </c>
    </row>
    <row r="159" spans="1:4" ht="15.75" thickBot="1" x14ac:dyDescent="0.3">
      <c r="A159" s="64" t="s">
        <v>1236</v>
      </c>
      <c r="B159" s="64"/>
      <c r="C159" s="64" t="s">
        <v>596</v>
      </c>
      <c r="D159" s="65">
        <v>3</v>
      </c>
    </row>
    <row r="160" spans="1:4" ht="15.75" thickBot="1" x14ac:dyDescent="0.3">
      <c r="A160" s="64" t="s">
        <v>1185</v>
      </c>
      <c r="B160" s="64"/>
      <c r="C160" s="64" t="s">
        <v>596</v>
      </c>
      <c r="D160" s="65">
        <v>6</v>
      </c>
    </row>
    <row r="161" spans="1:4" ht="15.75" thickBot="1" x14ac:dyDescent="0.3">
      <c r="A161" s="64" t="s">
        <v>1696</v>
      </c>
      <c r="B161" s="64"/>
      <c r="C161" s="64" t="s">
        <v>596</v>
      </c>
      <c r="D161" s="65">
        <v>1</v>
      </c>
    </row>
    <row r="162" spans="1:4" ht="15.75" thickBot="1" x14ac:dyDescent="0.3">
      <c r="A162" s="64" t="s">
        <v>1167</v>
      </c>
      <c r="B162" s="64"/>
      <c r="C162" s="64" t="s">
        <v>596</v>
      </c>
      <c r="D162" s="65">
        <v>5</v>
      </c>
    </row>
    <row r="163" spans="1:4" ht="15.75" thickBot="1" x14ac:dyDescent="0.3">
      <c r="A163" s="64" t="s">
        <v>1214</v>
      </c>
      <c r="B163" s="64"/>
      <c r="C163" s="64" t="s">
        <v>596</v>
      </c>
      <c r="D163" s="65">
        <v>1</v>
      </c>
    </row>
    <row r="164" spans="1:4" ht="15.75" thickBot="1" x14ac:dyDescent="0.3">
      <c r="A164" s="64" t="s">
        <v>1174</v>
      </c>
      <c r="B164" s="64"/>
      <c r="C164" s="64" t="s">
        <v>596</v>
      </c>
      <c r="D164" s="65">
        <v>12</v>
      </c>
    </row>
    <row r="165" spans="1:4" ht="15.75" thickBot="1" x14ac:dyDescent="0.3">
      <c r="A165" s="64" t="s">
        <v>1427</v>
      </c>
      <c r="B165" s="64"/>
      <c r="C165" s="64" t="s">
        <v>296</v>
      </c>
      <c r="D165" s="65">
        <v>5</v>
      </c>
    </row>
    <row r="166" spans="1:4" ht="15.75" thickBot="1" x14ac:dyDescent="0.3">
      <c r="A166" s="64" t="s">
        <v>1698</v>
      </c>
      <c r="B166" s="64"/>
      <c r="C166" s="64" t="s">
        <v>296</v>
      </c>
      <c r="D166" s="65">
        <v>7</v>
      </c>
    </row>
    <row r="167" spans="1:4" ht="15.75" thickBot="1" x14ac:dyDescent="0.3">
      <c r="A167" s="64" t="s">
        <v>1593</v>
      </c>
      <c r="B167" s="64"/>
      <c r="C167" s="64" t="s">
        <v>296</v>
      </c>
      <c r="D167" s="65">
        <v>2</v>
      </c>
    </row>
    <row r="168" spans="1:4" ht="15.75" thickBot="1" x14ac:dyDescent="0.3">
      <c r="A168" s="64" t="s">
        <v>1057</v>
      </c>
      <c r="B168" s="64"/>
      <c r="C168" s="64" t="s">
        <v>296</v>
      </c>
      <c r="D168" s="65">
        <v>1</v>
      </c>
    </row>
    <row r="169" spans="1:4" ht="15.75" thickBot="1" x14ac:dyDescent="0.3">
      <c r="A169" s="64" t="s">
        <v>1696</v>
      </c>
      <c r="B169" s="64"/>
      <c r="C169" s="64" t="s">
        <v>596</v>
      </c>
      <c r="D169" s="65">
        <v>6</v>
      </c>
    </row>
    <row r="170" spans="1:4" ht="15.75" thickBot="1" x14ac:dyDescent="0.3">
      <c r="A170" s="64" t="s">
        <v>1054</v>
      </c>
      <c r="B170" s="64"/>
      <c r="C170" s="64" t="s">
        <v>596</v>
      </c>
      <c r="D170" s="65">
        <v>3</v>
      </c>
    </row>
    <row r="171" spans="1:4" ht="15.75" thickBot="1" x14ac:dyDescent="0.3">
      <c r="A171" s="64" t="s">
        <v>686</v>
      </c>
      <c r="B171" s="64"/>
      <c r="C171" s="64" t="s">
        <v>296</v>
      </c>
      <c r="D171" s="65">
        <v>2</v>
      </c>
    </row>
    <row r="172" spans="1:4" ht="15.75" thickBot="1" x14ac:dyDescent="0.3">
      <c r="A172" s="64" t="s">
        <v>598</v>
      </c>
      <c r="B172" s="64"/>
      <c r="C172" s="64" t="s">
        <v>296</v>
      </c>
      <c r="D172" s="65">
        <v>1</v>
      </c>
    </row>
    <row r="173" spans="1:4" ht="15.75" thickBot="1" x14ac:dyDescent="0.3">
      <c r="A173" s="64" t="s">
        <v>1404</v>
      </c>
      <c r="B173" s="64"/>
      <c r="C173" s="64" t="s">
        <v>296</v>
      </c>
      <c r="D173" s="65">
        <v>5</v>
      </c>
    </row>
    <row r="174" spans="1:4" ht="15.75" thickBot="1" x14ac:dyDescent="0.3">
      <c r="A174" s="64" t="s">
        <v>1423</v>
      </c>
      <c r="B174" s="64"/>
      <c r="C174" s="64" t="s">
        <v>296</v>
      </c>
      <c r="D174" s="65">
        <v>1</v>
      </c>
    </row>
    <row r="175" spans="1:4" ht="15.75" thickBot="1" x14ac:dyDescent="0.3">
      <c r="A175" s="64" t="s">
        <v>1225</v>
      </c>
      <c r="B175" s="64"/>
      <c r="C175" s="64" t="s">
        <v>296</v>
      </c>
      <c r="D175" s="65">
        <v>6</v>
      </c>
    </row>
    <row r="176" spans="1:4" ht="15.75" thickBot="1" x14ac:dyDescent="0.3">
      <c r="A176" s="64" t="s">
        <v>1068</v>
      </c>
      <c r="B176" s="64"/>
      <c r="C176" s="64" t="s">
        <v>544</v>
      </c>
      <c r="D176" s="65">
        <v>16</v>
      </c>
    </row>
    <row r="177" spans="1:4" ht="15.75" thickBot="1" x14ac:dyDescent="0.3">
      <c r="A177" s="64" t="s">
        <v>1069</v>
      </c>
      <c r="B177" s="64"/>
      <c r="C177" s="64" t="s">
        <v>544</v>
      </c>
      <c r="D177" s="65">
        <v>3</v>
      </c>
    </row>
    <row r="178" spans="1:4" ht="15.75" thickBot="1" x14ac:dyDescent="0.3">
      <c r="A178" s="64" t="s">
        <v>1714</v>
      </c>
      <c r="B178" s="64"/>
      <c r="C178" s="64" t="s">
        <v>1153</v>
      </c>
      <c r="D178" s="65">
        <v>17</v>
      </c>
    </row>
    <row r="179" spans="1:4" ht="15.75" thickBot="1" x14ac:dyDescent="0.3">
      <c r="A179" s="64" t="s">
        <v>1226</v>
      </c>
      <c r="B179" s="64"/>
      <c r="C179" s="64" t="s">
        <v>596</v>
      </c>
      <c r="D179" s="65">
        <v>5</v>
      </c>
    </row>
    <row r="180" spans="1:4" ht="15.75" thickBot="1" x14ac:dyDescent="0.3">
      <c r="A180" s="64" t="s">
        <v>1218</v>
      </c>
      <c r="B180" s="64"/>
      <c r="C180" s="64" t="s">
        <v>596</v>
      </c>
      <c r="D180" s="65">
        <v>1</v>
      </c>
    </row>
    <row r="181" spans="1:4" ht="15.75" thickBot="1" x14ac:dyDescent="0.3">
      <c r="A181" s="64" t="s">
        <v>1234</v>
      </c>
      <c r="B181" s="64"/>
      <c r="C181" s="64" t="s">
        <v>296</v>
      </c>
      <c r="D181" s="65">
        <v>1</v>
      </c>
    </row>
    <row r="182" spans="1:4" ht="15.75" thickBot="1" x14ac:dyDescent="0.3">
      <c r="A182" s="64" t="s">
        <v>1206</v>
      </c>
      <c r="B182" s="64"/>
      <c r="C182" s="64" t="s">
        <v>296</v>
      </c>
      <c r="D182" s="65">
        <v>9</v>
      </c>
    </row>
    <row r="183" spans="1:4" ht="15.75" thickBot="1" x14ac:dyDescent="0.3">
      <c r="A183" s="64" t="s">
        <v>1234</v>
      </c>
      <c r="B183" s="64"/>
      <c r="C183" s="64" t="s">
        <v>296</v>
      </c>
      <c r="D183" s="65">
        <v>6</v>
      </c>
    </row>
    <row r="184" spans="1:4" ht="15.75" thickBot="1" x14ac:dyDescent="0.3">
      <c r="A184" s="64" t="s">
        <v>1168</v>
      </c>
      <c r="B184" s="64"/>
      <c r="C184" s="64" t="s">
        <v>296</v>
      </c>
      <c r="D184" s="65">
        <v>4</v>
      </c>
    </row>
    <row r="185" spans="1:4" ht="15.75" thickBot="1" x14ac:dyDescent="0.3">
      <c r="A185" s="64" t="s">
        <v>1186</v>
      </c>
      <c r="B185" s="64"/>
      <c r="C185" s="64" t="s">
        <v>296</v>
      </c>
      <c r="D185" s="65">
        <v>6</v>
      </c>
    </row>
    <row r="186" spans="1:4" ht="15.75" thickBot="1" x14ac:dyDescent="0.3">
      <c r="A186" s="64" t="s">
        <v>1241</v>
      </c>
      <c r="B186" s="64"/>
      <c r="C186" s="64" t="s">
        <v>296</v>
      </c>
      <c r="D186" s="65">
        <v>1</v>
      </c>
    </row>
    <row r="187" spans="1:4" ht="15.75" thickBot="1" x14ac:dyDescent="0.3">
      <c r="A187" s="64" t="s">
        <v>1176</v>
      </c>
      <c r="B187" s="64"/>
      <c r="C187" s="64" t="s">
        <v>296</v>
      </c>
      <c r="D187" s="65">
        <v>3</v>
      </c>
    </row>
    <row r="188" spans="1:4" ht="15.75" thickBot="1" x14ac:dyDescent="0.3">
      <c r="A188" s="64" t="s">
        <v>1183</v>
      </c>
      <c r="B188" s="64"/>
      <c r="C188" s="64" t="s">
        <v>296</v>
      </c>
      <c r="D188" s="65">
        <v>2</v>
      </c>
    </row>
    <row r="189" spans="1:4" ht="15.75" thickBot="1" x14ac:dyDescent="0.3">
      <c r="A189" s="64" t="s">
        <v>1227</v>
      </c>
      <c r="B189" s="64"/>
      <c r="C189" s="64" t="s">
        <v>296</v>
      </c>
      <c r="D189" s="65">
        <v>9</v>
      </c>
    </row>
    <row r="190" spans="1:4" ht="15.75" thickBot="1" x14ac:dyDescent="0.3">
      <c r="A190" s="64" t="s">
        <v>1183</v>
      </c>
      <c r="B190" s="64"/>
      <c r="C190" s="64" t="s">
        <v>296</v>
      </c>
      <c r="D190" s="65">
        <v>1</v>
      </c>
    </row>
    <row r="191" spans="1:4" ht="15.75" thickBot="1" x14ac:dyDescent="0.3">
      <c r="A191" s="64" t="s">
        <v>1198</v>
      </c>
      <c r="B191" s="64"/>
      <c r="C191" s="64" t="s">
        <v>296</v>
      </c>
      <c r="D191" s="65">
        <v>2</v>
      </c>
    </row>
    <row r="192" spans="1:4" ht="15.75" thickBot="1" x14ac:dyDescent="0.3">
      <c r="A192" s="64" t="s">
        <v>1201</v>
      </c>
      <c r="B192" s="64"/>
      <c r="C192" s="64" t="s">
        <v>296</v>
      </c>
      <c r="D192" s="65">
        <v>6</v>
      </c>
    </row>
    <row r="193" spans="1:4" ht="15.75" thickBot="1" x14ac:dyDescent="0.3">
      <c r="A193" s="64" t="s">
        <v>1206</v>
      </c>
      <c r="B193" s="64"/>
      <c r="C193" s="64" t="s">
        <v>296</v>
      </c>
      <c r="D193" s="65">
        <v>1</v>
      </c>
    </row>
    <row r="194" spans="1:4" ht="15.75" thickBot="1" x14ac:dyDescent="0.3">
      <c r="A194" s="64" t="s">
        <v>517</v>
      </c>
      <c r="B194" s="64"/>
      <c r="C194" s="64" t="s">
        <v>296</v>
      </c>
      <c r="D194" s="65">
        <v>5</v>
      </c>
    </row>
    <row r="195" spans="1:4" ht="15.75" thickBot="1" x14ac:dyDescent="0.3">
      <c r="A195" s="64" t="s">
        <v>1497</v>
      </c>
      <c r="B195" s="64"/>
      <c r="C195" s="64" t="s">
        <v>296</v>
      </c>
      <c r="D195" s="65">
        <v>5</v>
      </c>
    </row>
    <row r="196" spans="1:4" ht="15.75" thickBot="1" x14ac:dyDescent="0.3">
      <c r="A196" s="64" t="s">
        <v>1498</v>
      </c>
      <c r="B196" s="64"/>
      <c r="C196" s="64" t="s">
        <v>1429</v>
      </c>
      <c r="D196" s="65">
        <v>5</v>
      </c>
    </row>
    <row r="197" spans="1:4" ht="15.75" thickBot="1" x14ac:dyDescent="0.3">
      <c r="A197" s="64" t="s">
        <v>1546</v>
      </c>
      <c r="B197" s="64"/>
      <c r="C197" s="64" t="s">
        <v>593</v>
      </c>
      <c r="D197" s="65">
        <v>2</v>
      </c>
    </row>
    <row r="198" spans="1:4" ht="15.75" thickBot="1" x14ac:dyDescent="0.3">
      <c r="A198" s="64" t="s">
        <v>1322</v>
      </c>
      <c r="B198" s="64"/>
      <c r="C198" s="64" t="s">
        <v>439</v>
      </c>
      <c r="D198" s="65">
        <v>1</v>
      </c>
    </row>
    <row r="199" spans="1:4" ht="15.75" thickBot="1" x14ac:dyDescent="0.3">
      <c r="A199" s="64" t="s">
        <v>710</v>
      </c>
      <c r="B199" s="64"/>
      <c r="C199" s="64" t="s">
        <v>439</v>
      </c>
      <c r="D199" s="65">
        <v>1</v>
      </c>
    </row>
    <row r="200" spans="1:4" ht="15.75" thickBot="1" x14ac:dyDescent="0.3">
      <c r="A200" s="64" t="s">
        <v>1601</v>
      </c>
      <c r="B200" s="64"/>
      <c r="C200" s="64" t="s">
        <v>296</v>
      </c>
      <c r="D200" s="65">
        <v>20</v>
      </c>
    </row>
    <row r="201" spans="1:4" ht="15.75" thickBot="1" x14ac:dyDescent="0.3">
      <c r="A201" s="66" t="s">
        <v>1724</v>
      </c>
      <c r="B201" s="64"/>
      <c r="C201" s="64" t="s">
        <v>544</v>
      </c>
      <c r="D201" s="65">
        <v>1200</v>
      </c>
    </row>
    <row r="202" spans="1:4" ht="15.75" thickBot="1" x14ac:dyDescent="0.3">
      <c r="A202" s="64" t="s">
        <v>1306</v>
      </c>
      <c r="B202" s="64"/>
      <c r="C202" s="64" t="s">
        <v>544</v>
      </c>
      <c r="D202" s="65">
        <v>130</v>
      </c>
    </row>
    <row r="203" spans="1:4" ht="15.75" thickBot="1" x14ac:dyDescent="0.3">
      <c r="A203" s="66" t="s">
        <v>1066</v>
      </c>
      <c r="B203" s="64"/>
      <c r="C203" s="64" t="s">
        <v>544</v>
      </c>
      <c r="D203" s="65">
        <v>4</v>
      </c>
    </row>
    <row r="204" spans="1:4" ht="15.75" thickBot="1" x14ac:dyDescent="0.3">
      <c r="A204" s="64" t="s">
        <v>1396</v>
      </c>
      <c r="B204" s="64"/>
      <c r="C204" s="64" t="s">
        <v>544</v>
      </c>
      <c r="D204" s="65">
        <v>3</v>
      </c>
    </row>
    <row r="205" spans="1:4" ht="15.75" thickBot="1" x14ac:dyDescent="0.3">
      <c r="A205" s="64" t="s">
        <v>847</v>
      </c>
      <c r="B205" s="64"/>
      <c r="C205" s="64" t="s">
        <v>753</v>
      </c>
      <c r="D205" s="65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B2:B3"/>
  <sheetViews>
    <sheetView workbookViewId="0">
      <selection activeCell="G272" sqref="G272"/>
    </sheetView>
  </sheetViews>
  <sheetFormatPr defaultRowHeight="15" x14ac:dyDescent="0.25"/>
  <sheetData>
    <row r="2" spans="2:2" x14ac:dyDescent="0.25">
      <c r="B2">
        <v>9990</v>
      </c>
    </row>
    <row r="3" spans="2:2" x14ac:dyDescent="0.25">
      <c r="B3">
        <v>2540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"/>
  <sheetViews>
    <sheetView workbookViewId="0">
      <selection activeCell="G272" sqref="G27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156</vt:i4>
      </vt:variant>
      <vt:variant>
        <vt:lpstr>Named Ranges</vt:lpstr>
      </vt:variant>
      <vt:variant>
        <vt:i4>1</vt:i4>
      </vt:variant>
    </vt:vector>
  </HeadingPairs>
  <TitlesOfParts>
    <vt:vector size="157" baseType="lpstr">
      <vt:lpstr>JESTH- 2083</vt:lpstr>
      <vt:lpstr>Sheet125</vt:lpstr>
      <vt:lpstr>Sheet126</vt:lpstr>
      <vt:lpstr>Sheet124</vt:lpstr>
      <vt:lpstr>Sheet3</vt:lpstr>
      <vt:lpstr>Sheet1</vt:lpstr>
      <vt:lpstr>Sheeppt1</vt:lpstr>
      <vt:lpstr>Sheet127</vt:lpstr>
      <vt:lpstr>misc</vt:lpstr>
      <vt:lpstr>Sheet2</vt:lpstr>
      <vt:lpstr>Sheet4</vt:lpstr>
      <vt:lpstr>dinesh</vt:lpstr>
      <vt:lpstr>STOCK</vt:lpstr>
      <vt:lpstr>STOK 1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Sheet60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Sheet61</vt:lpstr>
      <vt:lpstr>Sheet62</vt:lpstr>
      <vt:lpstr>Sheet34</vt:lpstr>
      <vt:lpstr>Sheet35</vt:lpstr>
      <vt:lpstr>Sheet59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ODRE COMPANY</vt:lpstr>
      <vt:lpstr>BATHSENSE SANWARE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BATHSENSE</vt:lpstr>
      <vt:lpstr>Sheet7</vt:lpstr>
      <vt:lpstr>Sheet5</vt:lpstr>
      <vt:lpstr>Sheet8</vt:lpstr>
      <vt:lpstr>Sheet6</vt:lpstr>
      <vt:lpstr>binaya</vt:lpstr>
      <vt:lpstr>Painter</vt:lpstr>
      <vt:lpstr>Nala Stock 05-09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Sheeppt1!Print_Area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Prauysh Shrestha</cp:lastModifiedBy>
  <cp:revision/>
  <cp:lastPrinted>2025-12-14T12:28:35Z</cp:lastPrinted>
  <dcterms:created xsi:type="dcterms:W3CDTF">2011-12-13T08:45:27Z</dcterms:created>
  <dcterms:modified xsi:type="dcterms:W3CDTF">2026-06-17T12:48:49Z</dcterms:modified>
  <cp:category/>
  <cp:contentStatus/>
</cp:coreProperties>
</file>